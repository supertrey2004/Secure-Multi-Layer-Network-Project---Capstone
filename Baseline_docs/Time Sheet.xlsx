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F99AB878-21E0-45C0-97D9-A997C4D9ED6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Q6" i="1" s="1"/>
  <c r="P6" i="1"/>
  <c r="Q12" i="1"/>
  <c r="Q7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5" i="1" l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<sst xmlns="http://schemas.openxmlformats.org/spreadsheetml/2006/main" count="29" uniqueCount="17">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</sst>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C20" sqref="C20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3077</v>
      </c>
      <c r="I3" s="6">
        <f>SUM(F:F)</f>
        <v>47</v>
      </c>
      <c r="J3" s="5">
        <f>Table2[[#This Row],[Total Minutes]]/60</f>
        <v>51.283333333333331</v>
      </c>
      <c r="K3" s="1" t="str">
        <f>IF(Table2[[#This Row],[Hour Percent]] &gt;= Table2[[#This Row],[Hours Needed]], "Hours have been met", "More hours needed")</f>
        <v>More hours needed</v>
      </c>
      <c r="L3" s="1">
        <v>80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1258</v>
      </c>
      <c r="P5" s="6">
        <f>SUM(F17:F23)</f>
        <v>20</v>
      </c>
      <c r="Q5" s="5">
        <f t="shared" ref="Q5:Q11" si="0">O5/60</f>
        <v>20.966666666666665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46044.699333796299</v>
      </c>
      <c r="I6" s="4">
        <f ca="1">NOW()</f>
        <v>46044.699333796299</v>
      </c>
      <c r="N6" s="1">
        <v>4</v>
      </c>
      <c r="O6" s="6">
        <f>SUM(E24:E30) + (60*P6)</f>
        <v>0</v>
      </c>
      <c r="P6" s="6">
        <f>SUM(F24:F30)</f>
        <v>0</v>
      </c>
      <c r="Q6" s="5">
        <f t="shared" si="0"/>
        <v>0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2026-01-22T23:47:07Z</dcterms:modified>
</cp:coreProperties>
</file>