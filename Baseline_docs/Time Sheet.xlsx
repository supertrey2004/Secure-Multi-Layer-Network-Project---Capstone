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947B0467-19A7-484B-AA9C-96B4D21462B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" i="1" l="1"/>
  <c r="E54" i="1"/>
  <c r="E70" i="1"/>
  <c r="F70" i="1"/>
  <c r="E71" i="1"/>
  <c r="F71" i="1"/>
  <c r="E72" i="1"/>
  <c r="F72" i="1"/>
  <c r="F49" i="1"/>
  <c r="E48" i="1"/>
  <c r="E21" i="1"/>
  <c r="P3" i="1"/>
  <c r="O3" i="1" s="1"/>
  <c r="Q3" i="1" s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P12" i="1" s="1"/>
  <c r="E67" i="1"/>
  <c r="F67" i="1"/>
  <c r="E68" i="1"/>
  <c r="F68" i="1"/>
  <c r="F69" i="1"/>
  <c r="F4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50" i="1"/>
  <c r="F51" i="1"/>
  <c r="F52" i="1"/>
  <c r="F53" i="1"/>
  <c r="F55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9" i="1"/>
  <c r="E50" i="1"/>
  <c r="E51" i="1"/>
  <c r="E52" i="1"/>
  <c r="E53" i="1"/>
  <c r="E55" i="1"/>
  <c r="E57" i="1"/>
  <c r="I6" i="1"/>
  <c r="H6" i="1"/>
  <c r="O12" i="1" l="1"/>
  <c r="Q12" i="1" s="1"/>
  <c r="P11" i="1"/>
  <c r="O11" i="1" s="1"/>
  <c r="Q11" i="1" s="1"/>
  <c r="P4" i="1"/>
  <c r="O4" i="1" s="1"/>
  <c r="F56" i="1"/>
  <c r="F54" i="1"/>
  <c r="P10" i="1" s="1"/>
  <c r="O10" i="1" s="1"/>
  <c r="Q10" i="1" s="1"/>
  <c r="F48" i="1"/>
  <c r="P9" i="1" s="1"/>
  <c r="O9" i="1" s="1"/>
  <c r="P8" i="1"/>
  <c r="O8" i="1" s="1"/>
  <c r="Q8" i="1" s="1"/>
  <c r="P7" i="1"/>
  <c r="O7" i="1" s="1"/>
  <c r="Q7" i="1" s="1"/>
  <c r="P6" i="1"/>
  <c r="P5" i="1"/>
  <c r="Q4" i="1"/>
  <c r="O5" i="1" l="1"/>
  <c r="Q5" i="1" s="1"/>
  <c r="O6" i="1"/>
  <c r="Q6" i="1" s="1"/>
  <c r="I3" i="1"/>
  <c r="H3" i="1" s="1"/>
  <c r="J3" i="1" s="1"/>
  <c r="K3" i="1" s="1"/>
  <c r="Q9" i="1"/>
</calcChain>
</file>

<file path=xl/sharedStrings.xml><?xml version="1.0" encoding="utf-8"?>
<sst xmlns="http://schemas.openxmlformats.org/spreadsheetml/2006/main" count="51" uniqueCount="17">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</sst>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2" totalsRowShown="0" headerRowDxfId="20" dataDxfId="19">
  <autoFilter ref="A2:F72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topLeftCell="A40" workbookViewId="0">
      <selection activeCell="I47" sqref="I47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11009</v>
      </c>
      <c r="I3" s="6">
        <f>SUM(F:F)</f>
        <v>165</v>
      </c>
      <c r="J3" s="5">
        <f>Table2[[#This Row],[Total Minutes]]/60</f>
        <v>183.48333333333332</v>
      </c>
      <c r="K3" s="1" t="str">
        <f>IF(Table2[[#This Row],[Hour Percent]] &gt;= Table2[[#This Row],[Hours Needed]], "Hours have been met", "More hours needed")</f>
        <v>More hours needed</v>
      </c>
      <c r="L3" s="1">
        <v>200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46084.619718402777</v>
      </c>
      <c r="I6" s="4">
        <f ca="1">NOW()</f>
        <v>46084.619718402777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1370</v>
      </c>
      <c r="P8" s="6">
        <f>SUM(F38:F44)</f>
        <v>20</v>
      </c>
      <c r="Q8" s="5">
        <f t="shared" si="0"/>
        <v>22.833333333333332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1378</v>
      </c>
      <c r="P9" s="6">
        <f>SUM(F45:F51)</f>
        <v>20</v>
      </c>
      <c r="Q9" s="5">
        <f t="shared" si="0"/>
        <v>22.966666666666665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>
        <f>SUM(D52:E58) + (60*P10)</f>
        <v>1857</v>
      </c>
      <c r="P10" s="6">
        <f>SUM(F52:F58)</f>
        <v>28</v>
      </c>
      <c r="Q10" s="5">
        <f t="shared" si="0"/>
        <v>30.95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>
        <f>SUM(D59:E65) + (60*P11)</f>
        <v>459</v>
      </c>
      <c r="P11" s="6">
        <f>SUM(F59:F65)</f>
        <v>7</v>
      </c>
      <c r="Q11" s="5">
        <f t="shared" si="0"/>
        <v>7.65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>
        <f>SUM(D66:E72) + (60*P12)</f>
        <v>0</v>
      </c>
      <c r="P12" s="6">
        <f>SUM(F66:F72)</f>
        <v>0</v>
      </c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>
        <v>46065.745251388886</v>
      </c>
      <c r="E41" s="5">
        <f>IFERROR(MINUTE((Table1[[#This Row],[Stop]]-Table1[[#This Row],[Start]])),0)</f>
        <v>33</v>
      </c>
      <c r="F41" s="5">
        <f>IFERROR(HOUR(Table1[[#This Row],[Stop]]-Table1[[#This Row],[Start]]),0)</f>
        <v>4</v>
      </c>
    </row>
    <row r="42" spans="1:6" x14ac:dyDescent="0.35">
      <c r="A42" s="7">
        <v>46066</v>
      </c>
      <c r="B42" s="2">
        <v>46066.568680555552</v>
      </c>
      <c r="C42" s="2">
        <v>46066.976203703707</v>
      </c>
      <c r="D42" s="5">
        <v>15</v>
      </c>
      <c r="E42" s="5">
        <f>IFERROR(MINUTE((Table1[[#This Row],[Stop]]-Table1[[#This Row],[Start]])),0)</f>
        <v>46</v>
      </c>
      <c r="F42" s="5">
        <f>IFERROR(HOUR(Table1[[#This Row],[Stop]]-Table1[[#This Row],[Start]]),0)</f>
        <v>9</v>
      </c>
    </row>
    <row r="43" spans="1:6" x14ac:dyDescent="0.35">
      <c r="A43" s="7">
        <v>46067</v>
      </c>
      <c r="B43" s="2" t="s">
        <v>13</v>
      </c>
      <c r="C43" s="2" t="s">
        <v>13</v>
      </c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 t="s">
        <v>13</v>
      </c>
      <c r="C44" s="2" t="s">
        <v>13</v>
      </c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 t="s">
        <v>13</v>
      </c>
      <c r="C45" s="2" t="s">
        <v>13</v>
      </c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>
        <v>46070.578633564815</v>
      </c>
      <c r="C46" s="2">
        <v>46070.708599537036</v>
      </c>
      <c r="E46" s="5">
        <f>IFERROR(MINUTE((Table1[[#This Row],[Stop]]-Table1[[#This Row],[Start]])),0)</f>
        <v>7</v>
      </c>
      <c r="F46" s="5">
        <f>IFERROR(HOUR(Table1[[#This Row],[Stop]]-Table1[[#This Row],[Start]]),0)</f>
        <v>3</v>
      </c>
    </row>
    <row r="47" spans="1:6" x14ac:dyDescent="0.35">
      <c r="A47" s="7">
        <v>46071</v>
      </c>
      <c r="B47" s="2" t="s">
        <v>13</v>
      </c>
      <c r="C47" s="2" t="s">
        <v>13</v>
      </c>
      <c r="D47" s="5">
        <v>60</v>
      </c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>
        <v>46072.625451388885</v>
      </c>
      <c r="C48" s="2">
        <v>46072.729618055557</v>
      </c>
      <c r="E48" s="5">
        <f>IFERROR(MINUTE((Table1[[#This Row],[Stop]]-Table1[[#This Row],[Start]])),0)</f>
        <v>30</v>
      </c>
      <c r="F48" s="5">
        <f>IFERROR(HOUR(Table1[[#This Row],[Stop]]-Table1[[#This Row],[Start]]),0)</f>
        <v>2</v>
      </c>
    </row>
    <row r="49" spans="1:6" x14ac:dyDescent="0.35">
      <c r="A49" s="7">
        <v>46073</v>
      </c>
      <c r="B49" s="2">
        <v>46073.472314814811</v>
      </c>
      <c r="C49" s="2">
        <v>46074.125613425924</v>
      </c>
      <c r="D49" s="5">
        <v>10</v>
      </c>
      <c r="E49" s="5">
        <f>IFERROR(MINUTE((Table1[[#This Row],[Stop]]-Table1[[#This Row],[Start]])),0)</f>
        <v>40</v>
      </c>
      <c r="F49" s="5">
        <f>IFERROR(HOUR(Table1[[#This Row],[Stop]]-Table1[[#This Row],[Start]]),0)</f>
        <v>15</v>
      </c>
    </row>
    <row r="50" spans="1:6" x14ac:dyDescent="0.35">
      <c r="A50" s="7">
        <v>46074</v>
      </c>
      <c r="B50" s="2" t="s">
        <v>13</v>
      </c>
      <c r="C50" s="2" t="s">
        <v>13</v>
      </c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>
        <v>46075.661360416663</v>
      </c>
      <c r="C51" s="2">
        <v>46075.683182870373</v>
      </c>
      <c r="E51" s="5">
        <f>IFERROR(MINUTE((Table1[[#This Row],[Stop]]-Table1[[#This Row],[Start]])),0)</f>
        <v>31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>
        <v>46076.486793981479</v>
      </c>
      <c r="C52" s="2">
        <v>46076.656846874997</v>
      </c>
      <c r="E52" s="5">
        <f>IFERROR(MINUTE((Table1[[#This Row],[Stop]]-Table1[[#This Row],[Start]])),0)</f>
        <v>4</v>
      </c>
      <c r="F52" s="5">
        <f>IFERROR(HOUR(Table1[[#This Row],[Stop]]-Table1[[#This Row],[Start]]),0)</f>
        <v>4</v>
      </c>
    </row>
    <row r="53" spans="1:6" x14ac:dyDescent="0.35">
      <c r="A53" s="7">
        <v>46077</v>
      </c>
      <c r="B53" s="4">
        <v>46077.555694444447</v>
      </c>
      <c r="C53" s="4">
        <v>46078.167118055557</v>
      </c>
      <c r="E53" s="5">
        <f>IFERROR(MINUTE((Table1[[#This Row],[Stop]]-Table1[[#This Row],[Start]])),0)</f>
        <v>40</v>
      </c>
      <c r="F53" s="5">
        <f>IFERROR(HOUR(Table1[[#This Row],[Stop]]-Table1[[#This Row],[Start]]),0)</f>
        <v>14</v>
      </c>
    </row>
    <row r="54" spans="1:6" x14ac:dyDescent="0.35">
      <c r="A54" s="7">
        <v>46078</v>
      </c>
      <c r="B54" s="2">
        <v>46078.470724305553</v>
      </c>
      <c r="C54" s="2">
        <v>46078.542256944442</v>
      </c>
      <c r="E54" s="5">
        <f>IFERROR(MINUTE((Table1[[#This Row],[Stop]]-Table1[[#This Row],[Start]])),0)</f>
        <v>43</v>
      </c>
      <c r="F54" s="5">
        <f>IFERROR(HOUR(Table1[[#This Row],[Stop]]-Table1[[#This Row],[Start]]),0)</f>
        <v>1</v>
      </c>
    </row>
    <row r="55" spans="1:6" x14ac:dyDescent="0.35">
      <c r="A55" s="7">
        <v>46079</v>
      </c>
      <c r="B55" s="2">
        <v>46079.585710995372</v>
      </c>
      <c r="C55" s="2">
        <v>46079.999594907407</v>
      </c>
      <c r="E55" s="5">
        <f>IFERROR(MINUTE((Table1[[#This Row],[Stop]]-Table1[[#This Row],[Start]])),0)</f>
        <v>56</v>
      </c>
      <c r="F55" s="5">
        <f>IFERROR(HOUR(Table1[[#This Row],[Stop]]-Table1[[#This Row],[Start]]),0)</f>
        <v>9</v>
      </c>
    </row>
    <row r="56" spans="1:6" x14ac:dyDescent="0.35">
      <c r="A56" s="7">
        <v>46080</v>
      </c>
      <c r="B56" s="4">
        <v>46080.583541666667</v>
      </c>
      <c r="C56" s="2">
        <v>46080.607357291665</v>
      </c>
      <c r="E56" s="5">
        <f>IFERROR(MINUTE((Table1[[#This Row],[Stop]]-Table1[[#This Row],[Start]])),0)</f>
        <v>34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 t="s">
        <v>13</v>
      </c>
      <c r="C57" s="2" t="s">
        <v>13</v>
      </c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 t="s">
        <v>13</v>
      </c>
      <c r="C58" s="2" t="s">
        <v>13</v>
      </c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4">
        <v>46083.590872106484</v>
      </c>
      <c r="C59" s="4">
        <v>46083.715868055559</v>
      </c>
      <c r="D59" s="5">
        <v>30</v>
      </c>
      <c r="E59" s="5">
        <f>IFERROR(MINUTE((Table1[[#This Row],[Stop]]-Table1[[#This Row],[Start]])),0)</f>
        <v>0</v>
      </c>
      <c r="F59" s="5">
        <f>IFERROR(HOUR(Table1[[#This Row],[Stop]]-Table1[[#This Row],[Start]]),0)</f>
        <v>3</v>
      </c>
    </row>
    <row r="60" spans="1:6" x14ac:dyDescent="0.35">
      <c r="A60" s="7">
        <v>46084</v>
      </c>
      <c r="B60" s="4">
        <v>46084.619406018515</v>
      </c>
      <c r="C60" s="4">
        <v>46084.792326388888</v>
      </c>
      <c r="E60" s="5">
        <f>IFERROR(MINUTE((Table1[[#This Row],[Stop]]-Table1[[#This Row],[Start]])),0)</f>
        <v>9</v>
      </c>
      <c r="F60" s="5">
        <f>IFERROR(HOUR(Table1[[#This Row],[Stop]]-Table1[[#This Row],[Start]]),0)</f>
        <v>4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2026-03-03T21:52:43Z</dcterms:modified>
</cp:coreProperties>
</file>