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19F3C673-9749-405C-90AA-8BEED27F49FF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1" l="1"/>
  <c r="P9" i="1"/>
  <c r="O6" i="1"/>
  <c r="O5" i="1"/>
  <c r="O4" i="1"/>
  <c r="O3" i="1"/>
  <c r="Q3" i="1" s="1"/>
  <c r="E21" i="1"/>
  <c r="Q12" i="1"/>
  <c r="Q10" i="1"/>
  <c r="Q11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P8" i="1" l="1"/>
  <c r="O8" i="1" s="1"/>
  <c r="Q8" i="1" s="1"/>
  <c r="Q9" i="1"/>
  <c r="P7" i="1"/>
  <c r="O7" i="1" s="1"/>
  <c r="Q7" i="1" s="1"/>
  <c r="P6" i="1"/>
  <c r="Q6" i="1" s="1"/>
  <c r="P5" i="1"/>
  <c r="Q5" i="1" s="1"/>
  <c r="Q4" i="1"/>
  <c r="I3" i="1"/>
  <c r="H3" i="1" l="1"/>
  <c r="J3" i="1" s="1"/>
  <c r="K3" i="1" s="1"/>
</calcChain>
</file>

<file path=xl/sharedStrings.xml><?xml version="1.0" encoding="utf-8"?>
<sst xmlns="http://schemas.openxmlformats.org/spreadsheetml/2006/main" count="37" uniqueCount="17">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</sst>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workbookViewId="0">
      <selection activeCell="C39" sqref="C39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6221</v>
      </c>
      <c r="I3" s="6">
        <f>SUM(F:F)</f>
        <v>94</v>
      </c>
      <c r="J3" s="5">
        <f>Table2[[#This Row],[Total Minutes]]/60</f>
        <v>103.68333333333334</v>
      </c>
      <c r="K3" s="1" t="str">
        <f>IF(Table2[[#This Row],[Hour Percent]] &gt;= Table2[[#This Row],[Hours Needed]], "Hours have been met", "More hours needed")</f>
        <v>More hours needed</v>
      </c>
      <c r="L3" s="1">
        <v>120</v>
      </c>
      <c r="N3" s="1">
        <v>1</v>
      </c>
      <c r="O3" s="6">
        <f>SUM(D3:E9) + (60*P3)</f>
        <v>606</v>
      </c>
      <c r="P3" s="6">
        <f>SUM(F3:F9)</f>
        <v>9</v>
      </c>
      <c r="Q3" s="5">
        <f>O3/60</f>
        <v>10.1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SUM(D10:E16)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SUM(D17:E23)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46063.707249537038</v>
      </c>
      <c r="I6" s="4">
        <f ca="1">NOW()</f>
        <v>46063.707249537038</v>
      </c>
      <c r="N6" s="1">
        <v>4</v>
      </c>
      <c r="O6" s="6">
        <f>SUM(D24:E30) + (60*P6)</f>
        <v>1421</v>
      </c>
      <c r="P6" s="6">
        <f>SUM(F24:F30)</f>
        <v>21</v>
      </c>
      <c r="Q6" s="5">
        <f t="shared" si="0"/>
        <v>23.683333333333334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SUM(D31:E37) + (60*P7)</f>
        <v>1323</v>
      </c>
      <c r="P7" s="6">
        <f>SUM(F31:F37)</f>
        <v>20</v>
      </c>
      <c r="Q7" s="5">
        <f t="shared" si="0"/>
        <v>22.05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>
        <f>SUM(D38:E44) + (60*P8)</f>
        <v>276</v>
      </c>
      <c r="P8" s="6">
        <f>SUM(F38:F44)</f>
        <v>4</v>
      </c>
      <c r="Q8" s="5">
        <f t="shared" si="0"/>
        <v>4.5999999999999996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>
        <f>SUM(D45:E51) + (60*P9)</f>
        <v>0</v>
      </c>
      <c r="P9" s="6">
        <f>SUM(F45:F51)</f>
        <v>0</v>
      </c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>
        <v>46052.52367696759</v>
      </c>
      <c r="C28" s="2">
        <v>46052.57707175926</v>
      </c>
      <c r="E28" s="5">
        <f>IFERROR(MINUTE((Table1[[#This Row],[Stop]]-Table1[[#This Row],[Start]])),0)</f>
        <v>16</v>
      </c>
      <c r="F28" s="5">
        <f>IFERROR(HOUR(Table1[[#This Row],[Stop]]-Table1[[#This Row],[Start]]),0)</f>
        <v>1</v>
      </c>
    </row>
    <row r="29" spans="1:6" x14ac:dyDescent="0.35">
      <c r="A29" s="7">
        <v>46053</v>
      </c>
      <c r="B29" s="2" t="s">
        <v>13</v>
      </c>
      <c r="C29" s="2" t="s">
        <v>13</v>
      </c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 t="s">
        <v>13</v>
      </c>
      <c r="C30" s="2" t="s">
        <v>13</v>
      </c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>
        <v>46055.511829745374</v>
      </c>
      <c r="C31" s="2">
        <v>46055.604791666665</v>
      </c>
      <c r="D31" s="5">
        <v>10</v>
      </c>
      <c r="E31" s="5">
        <f>IFERROR(MINUTE((Table1[[#This Row],[Stop]]-Table1[[#This Row],[Start]])),0)</f>
        <v>13</v>
      </c>
      <c r="F31" s="5">
        <f>IFERROR(HOUR(Table1[[#This Row],[Stop]]-Table1[[#This Row],[Start]]),0)</f>
        <v>2</v>
      </c>
    </row>
    <row r="32" spans="1:6" x14ac:dyDescent="0.35">
      <c r="A32" s="7">
        <v>46056</v>
      </c>
      <c r="B32" s="2">
        <v>46056.580678124999</v>
      </c>
      <c r="C32" s="2">
        <v>46056.75068287037</v>
      </c>
      <c r="E32" s="5">
        <f>IFERROR(MINUTE((Table1[[#This Row],[Stop]]-Table1[[#This Row],[Start]])),0)</f>
        <v>4</v>
      </c>
      <c r="F32" s="5">
        <f>IFERROR(HOUR(Table1[[#This Row],[Stop]]-Table1[[#This Row],[Start]]),0)</f>
        <v>4</v>
      </c>
    </row>
    <row r="33" spans="1:6" x14ac:dyDescent="0.35">
      <c r="A33" s="7">
        <v>46057</v>
      </c>
      <c r="B33" s="2">
        <v>46057.535749884257</v>
      </c>
      <c r="C33" s="2">
        <v>46057.688575</v>
      </c>
      <c r="E33" s="5">
        <f>IFERROR(MINUTE((Table1[[#This Row],[Stop]]-Table1[[#This Row],[Start]])),0)</f>
        <v>40</v>
      </c>
      <c r="F33" s="5">
        <f>IFERROR(HOUR(Table1[[#This Row],[Stop]]-Table1[[#This Row],[Start]]),0)</f>
        <v>3</v>
      </c>
    </row>
    <row r="34" spans="1:6" x14ac:dyDescent="0.35">
      <c r="A34" s="7">
        <v>46058</v>
      </c>
      <c r="B34" s="2">
        <v>46058.569537037038</v>
      </c>
      <c r="C34" s="2">
        <v>46058.958425925928</v>
      </c>
      <c r="E34" s="5">
        <f>IFERROR(MINUTE((Table1[[#This Row],[Stop]]-Table1[[#This Row],[Start]])),0)</f>
        <v>20</v>
      </c>
      <c r="F34" s="5">
        <f>IFERROR(HOUR(Table1[[#This Row],[Stop]]-Table1[[#This Row],[Start]]),0)</f>
        <v>9</v>
      </c>
    </row>
    <row r="35" spans="1:6" x14ac:dyDescent="0.35">
      <c r="A35" s="7">
        <v>46059</v>
      </c>
      <c r="B35" s="2">
        <v>46059.513006597219</v>
      </c>
      <c r="C35" s="2">
        <v>46059.61440972222</v>
      </c>
      <c r="D35" s="5">
        <v>10</v>
      </c>
      <c r="E35" s="5">
        <f>IFERROR(MINUTE((Table1[[#This Row],[Stop]]-Table1[[#This Row],[Start]])),0)</f>
        <v>26</v>
      </c>
      <c r="F35" s="5">
        <f>IFERROR(HOUR(Table1[[#This Row],[Stop]]-Table1[[#This Row],[Start]]),0)</f>
        <v>2</v>
      </c>
    </row>
    <row r="36" spans="1:6" x14ac:dyDescent="0.35">
      <c r="A36" s="7">
        <v>46060</v>
      </c>
      <c r="B36" s="2" t="s">
        <v>13</v>
      </c>
      <c r="C36" s="2" t="s">
        <v>13</v>
      </c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 t="s">
        <v>13</v>
      </c>
      <c r="C37" s="2" t="s">
        <v>13</v>
      </c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>
        <v>46062.532546527778</v>
      </c>
      <c r="C38" s="2">
        <v>46062.587678587966</v>
      </c>
      <c r="E38" s="5">
        <f>IFERROR(MINUTE((Table1[[#This Row],[Stop]]-Table1[[#This Row],[Start]])),0)</f>
        <v>19</v>
      </c>
      <c r="F38" s="5">
        <f>IFERROR(HOUR(Table1[[#This Row],[Stop]]-Table1[[#This Row],[Start]]),0)</f>
        <v>1</v>
      </c>
    </row>
    <row r="39" spans="1:6" x14ac:dyDescent="0.35">
      <c r="A39" s="7">
        <v>46063</v>
      </c>
      <c r="B39" s="2">
        <v>46063.570104166669</v>
      </c>
      <c r="C39" s="2">
        <v>46063.7071125</v>
      </c>
      <c r="E39" s="5">
        <f>IFERROR(MINUTE((Table1[[#This Row],[Stop]]-Table1[[#This Row],[Start]])),0)</f>
        <v>17</v>
      </c>
      <c r="F39" s="5">
        <f>IFERROR(HOUR(Table1[[#This Row],[Stop]]-Table1[[#This Row],[Start]]),0)</f>
        <v>3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2026-02-10T23:58:30Z</dcterms:modified>
</cp:coreProperties>
</file>