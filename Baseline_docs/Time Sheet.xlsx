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A046A932-7BAE-4921-83D6-AF5414FB47D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" i="1" l="1"/>
  <c r="Q6" i="1"/>
  <c r="Q7" i="1"/>
  <c r="Q8" i="1"/>
  <c r="Q9" i="1"/>
  <c r="Q10" i="1"/>
  <c r="Q11" i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5" i="1" l="1"/>
  <c r="O5" i="1" s="1"/>
  <c r="Q5" i="1" s="1"/>
  <c r="O4" i="1"/>
  <c r="Q4" i="1" s="1"/>
  <c r="I3" i="1"/>
  <c r="H3" i="1" s="1"/>
  <c r="J3" i="1" s="1"/>
  <c r="K3" i="1" s="1"/>
</calcChain>
</file>

<file path=xl/sharedStrings.xml><?xml version="1.0" encoding="utf-8"?>
<sst xmlns="http://schemas.openxmlformats.org/spreadsheetml/2006/main" count="25" uniqueCount="17">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</sst>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E18" sqref="E18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2498</v>
      </c>
      <c r="I3" s="6">
        <f>SUM(F:F)</f>
        <v>38</v>
      </c>
      <c r="J3" s="5">
        <f>Table2[[#This Row],[Total Minutes]]/60</f>
        <v>41.633333333333333</v>
      </c>
      <c r="K3" s="1" t="str">
        <f>IF(Table2[[#This Row],[Hour Percent]] &gt;= Table2[[#This Row],[Hours Needed]], "Hours have been met", "More hours needed")</f>
        <v>Hours have been met</v>
      </c>
      <c r="L3" s="1">
        <v>40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SUM(E17:E23) + (60*P5)</f>
        <v>679</v>
      </c>
      <c r="P5" s="6">
        <f>SUM(F17:F23)</f>
        <v>11</v>
      </c>
      <c r="Q5" s="5">
        <f t="shared" ref="Q5:Q11" si="0">O5/60</f>
        <v>11.316666666666666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46042.707945138885</v>
      </c>
      <c r="I6" s="4">
        <f ca="1">NOW()</f>
        <v>46042.707945138885</v>
      </c>
      <c r="N6" s="1">
        <v>4</v>
      </c>
      <c r="O6" s="6"/>
      <c r="P6" s="6"/>
      <c r="Q6" s="5">
        <f t="shared" si="0"/>
        <v>0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/>
      <c r="P7" s="6"/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/>
      <c r="C19" s="2"/>
      <c r="E19" s="5">
        <f>IFERROR(MINUTE((Table1[[#This Row],[Stop]]-Table1[[#This Row],[Start]])),0)</f>
        <v>0</v>
      </c>
      <c r="F19" s="5">
        <f>IFERROR(HOUR(Table1[[#This Row],[Stop]]-Table1[[#This Row],[Start]]),0)</f>
        <v>0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2026-01-20T23:59:39Z</dcterms:modified>
</cp:coreProperties>
</file>