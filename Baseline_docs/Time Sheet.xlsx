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6766F61D-7D3E-4DFF-9841-2652E7AAD841}" xr6:coauthVersionLast="47" xr6:coauthVersionMax="47" xr10:uidLastSave="{00000000-0000-0000-0000-000000000000}"/>
  <bookViews>
    <workbookView xWindow="1900" yWindow="1900" windowWidth="19200" windowHeight="111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P9" i="1"/>
  <c r="O6" i="1"/>
  <c r="O5" i="1"/>
  <c r="O4" i="1"/>
  <c r="O3" i="1"/>
  <c r="Q3" i="1" s="1"/>
  <c r="E21" i="1"/>
  <c r="Q12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8" i="1" l="1"/>
  <c r="O8" i="1" s="1"/>
  <c r="Q8" i="1" s="1"/>
  <c r="Q9" i="1"/>
  <c r="P7" i="1"/>
  <c r="O7" i="1" s="1"/>
  <c r="Q7" i="1" s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<sst xmlns="http://schemas.openxmlformats.org/spreadsheetml/2006/main" count="37" uniqueCount="17">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</sst>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topLeftCell="A22" workbookViewId="0">
      <selection activeCell="C42" sqref="C42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7255</v>
      </c>
      <c r="I3" s="6">
        <f>SUM(F:F)</f>
        <v>109</v>
      </c>
      <c r="J3" s="5">
        <f>Table2[[#This Row],[Total Minutes]]/60</f>
        <v>120.91666666666667</v>
      </c>
      <c r="K3" s="1" t="str">
        <f>IF(Table2[[#This Row],[Hour Percent]] &gt;= Table2[[#This Row],[Hours Needed]], "Hours have been met", "More hours needed")</f>
        <v>Hours have been met</v>
      </c>
      <c r="L3" s="1">
        <v>120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46066.934617708335</v>
      </c>
      <c r="I6" s="4">
        <f ca="1">NOW()</f>
        <v>46066.934617708335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1310</v>
      </c>
      <c r="P8" s="6">
        <f>SUM(F38:F44)</f>
        <v>19</v>
      </c>
      <c r="Q8" s="5">
        <f t="shared" si="0"/>
        <v>21.833333333333332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0</v>
      </c>
      <c r="P9" s="6">
        <f>SUM(F45:F51)</f>
        <v>0</v>
      </c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>
        <v>46064.625451388885</v>
      </c>
      <c r="E40" s="5">
        <f>IFERROR(MINUTE((Table1[[#This Row],[Stop]]-Table1[[#This Row],[Start]])),0)</f>
        <v>10</v>
      </c>
      <c r="F40" s="5">
        <f>IFERROR(HOUR(Table1[[#This Row],[Stop]]-Table1[[#This Row],[Start]]),0)</f>
        <v>2</v>
      </c>
    </row>
    <row r="41" spans="1:6" x14ac:dyDescent="0.35">
      <c r="A41" s="7">
        <v>46065</v>
      </c>
      <c r="B41" s="2">
        <v>46065.555194328706</v>
      </c>
      <c r="C41" s="2">
        <v>46065.745251388886</v>
      </c>
      <c r="E41" s="5">
        <f>IFERROR(MINUTE((Table1[[#This Row],[Stop]]-Table1[[#This Row],[Start]])),0)</f>
        <v>33</v>
      </c>
      <c r="F41" s="5">
        <f>IFERROR(HOUR(Table1[[#This Row],[Stop]]-Table1[[#This Row],[Start]]),0)</f>
        <v>4</v>
      </c>
    </row>
    <row r="42" spans="1:6" x14ac:dyDescent="0.35">
      <c r="A42" s="7">
        <v>46066</v>
      </c>
      <c r="B42" s="2">
        <v>46066.568680555552</v>
      </c>
      <c r="C42" s="2">
        <v>46066.934533449072</v>
      </c>
      <c r="D42" s="5">
        <v>15</v>
      </c>
      <c r="E42" s="5">
        <f>IFERROR(MINUTE((Table1[[#This Row],[Stop]]-Table1[[#This Row],[Start]])),0)</f>
        <v>46</v>
      </c>
      <c r="F42" s="5">
        <f>IFERROR(HOUR(Table1[[#This Row],[Stop]]-Table1[[#This Row],[Start]]),0)</f>
        <v>8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2026-02-14T05:25:52Z</dcterms:modified>
</cp:coreProperties>
</file>