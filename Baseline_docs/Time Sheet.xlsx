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887C2E37-072C-4740-87EE-4A40D30CC4A7}" xr6:coauthVersionLast="47" xr6:coauthVersionMax="47" xr10:uidLastSave="{00000000-0000-0000-0000-000000000000}"/>
  <bookViews>
    <workbookView xWindow="3420" yWindow="3420" windowWidth="19200" windowHeight="111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1" i="1" l="1"/>
  <c r="O11" i="1"/>
  <c r="Q11" i="1" s="1"/>
  <c r="E56" i="1"/>
  <c r="E54" i="1"/>
  <c r="E70" i="1"/>
  <c r="F70" i="1"/>
  <c r="E71" i="1"/>
  <c r="F71" i="1"/>
  <c r="E72" i="1"/>
  <c r="F72" i="1"/>
  <c r="E73" i="1"/>
  <c r="F73" i="1"/>
  <c r="E74" i="1"/>
  <c r="F74" i="1"/>
  <c r="E75" i="1"/>
  <c r="F75" i="1"/>
  <c r="F49" i="1"/>
  <c r="E48" i="1"/>
  <c r="O6" i="1"/>
  <c r="O5" i="1"/>
  <c r="O4" i="1"/>
  <c r="O3" i="1"/>
  <c r="Q3" i="1" s="1"/>
  <c r="E21" i="1"/>
  <c r="Q12" i="1"/>
  <c r="P3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50" i="1"/>
  <c r="F51" i="1"/>
  <c r="F52" i="1"/>
  <c r="F53" i="1"/>
  <c r="F55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9" i="1"/>
  <c r="E50" i="1"/>
  <c r="E51" i="1"/>
  <c r="E52" i="1"/>
  <c r="E53" i="1"/>
  <c r="E55" i="1"/>
  <c r="E57" i="1"/>
  <c r="I6" i="1"/>
  <c r="H6" i="1"/>
  <c r="F56" i="1" l="1"/>
  <c r="F54" i="1"/>
  <c r="P10" i="1" s="1"/>
  <c r="O10" i="1" s="1"/>
  <c r="Q10" i="1" s="1"/>
  <c r="F48" i="1"/>
  <c r="P9" i="1" s="1"/>
  <c r="O9" i="1" s="1"/>
  <c r="P8" i="1"/>
  <c r="O8" i="1" s="1"/>
  <c r="Q8" i="1" s="1"/>
  <c r="P7" i="1"/>
  <c r="O7" i="1" s="1"/>
  <c r="Q7" i="1" s="1"/>
  <c r="P6" i="1"/>
  <c r="Q6" i="1" s="1"/>
  <c r="P5" i="1"/>
  <c r="Q5" i="1" s="1"/>
  <c r="Q4" i="1"/>
  <c r="I3" i="1" l="1"/>
  <c r="H3" i="1" s="1"/>
  <c r="J3" i="1" s="1"/>
  <c r="K3" i="1" s="1"/>
  <c r="Q9" i="1"/>
</calcChain>
</file>

<file path=xl/sharedStrings.xml><?xml version="1.0" encoding="utf-8"?>
<sst xmlns="http://schemas.openxmlformats.org/spreadsheetml/2006/main" count="51" uniqueCount="17">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</sst>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workbookViewId="0">
      <selection activeCell="I6" sqref="I6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10550</v>
      </c>
      <c r="I3" s="6">
        <f>SUM(F:F)</f>
        <v>158</v>
      </c>
      <c r="J3" s="5">
        <f>Table2[[#This Row],[Total Minutes]]/60</f>
        <v>175.83333333333334</v>
      </c>
      <c r="K3" s="1" t="str">
        <f>IF(Table2[[#This Row],[Hour Percent]] &gt;= Table2[[#This Row],[Hours Needed]], "Hours have been met", "More hours needed")</f>
        <v>More hours needed</v>
      </c>
      <c r="L3" s="1">
        <v>200</v>
      </c>
      <c r="N3" s="1">
        <v>1</v>
      </c>
      <c r="O3" s="6">
        <f>SUM(D3:E9) + (60*P3)</f>
        <v>606</v>
      </c>
      <c r="P3" s="6">
        <f>SUM(F3:F9)</f>
        <v>9</v>
      </c>
      <c r="Q3" s="5">
        <f>O3/60</f>
        <v>10.1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SUM(D10:E16)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SUM(D17:E23)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46080.607441550928</v>
      </c>
      <c r="I6" s="4">
        <f ca="1">NOW()</f>
        <v>46080.607441550928</v>
      </c>
      <c r="N6" s="1">
        <v>4</v>
      </c>
      <c r="O6" s="6">
        <f>SUM(D24:E30) + (60*P6)</f>
        <v>1421</v>
      </c>
      <c r="P6" s="6">
        <f>SUM(F24:F30)</f>
        <v>21</v>
      </c>
      <c r="Q6" s="5">
        <f t="shared" si="0"/>
        <v>23.683333333333334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>
        <f>SUM(D31:E37) + (60*P7)</f>
        <v>1323</v>
      </c>
      <c r="P7" s="6">
        <f>SUM(F31:F37)</f>
        <v>20</v>
      </c>
      <c r="Q7" s="5">
        <f t="shared" si="0"/>
        <v>22.05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>
        <f>SUM(D38:E44) + (60*P8)</f>
        <v>1370</v>
      </c>
      <c r="P8" s="6">
        <f>SUM(F38:F44)</f>
        <v>20</v>
      </c>
      <c r="Q8" s="5">
        <f t="shared" si="0"/>
        <v>22.833333333333332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>
        <f>SUM(D45:E51) + (60*P9)</f>
        <v>1378</v>
      </c>
      <c r="P9" s="6">
        <f>SUM(F45:F51)</f>
        <v>20</v>
      </c>
      <c r="Q9" s="5">
        <f t="shared" si="0"/>
        <v>22.966666666666665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>
        <f>SUM(D52:E58) + (60*P10)</f>
        <v>1857</v>
      </c>
      <c r="P10" s="6">
        <f>SUM(F52:F58)</f>
        <v>28</v>
      </c>
      <c r="Q10" s="5">
        <f t="shared" si="0"/>
        <v>30.95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>
        <f>SUM(D59:E65) + (60*P11)</f>
        <v>0</v>
      </c>
      <c r="P11" s="6">
        <f>SUM(F59:F65)</f>
        <v>0</v>
      </c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>
        <v>46050.504202662036</v>
      </c>
      <c r="C26" s="2">
        <v>46050.667615740742</v>
      </c>
      <c r="E26" s="5">
        <f>IFERROR(MINUTE((Table1[[#This Row],[Stop]]-Table1[[#This Row],[Start]])),0)</f>
        <v>55</v>
      </c>
      <c r="F26" s="5">
        <f>IFERROR(HOUR(Table1[[#This Row],[Stop]]-Table1[[#This Row],[Start]]),0)</f>
        <v>3</v>
      </c>
    </row>
    <row r="27" spans="1:6" x14ac:dyDescent="0.35">
      <c r="A27" s="7">
        <v>46051</v>
      </c>
      <c r="B27" s="2">
        <v>46051.575492939817</v>
      </c>
      <c r="C27" s="2">
        <v>46051.715775462966</v>
      </c>
      <c r="E27" s="5">
        <f>IFERROR(MINUTE((Table1[[#This Row],[Stop]]-Table1[[#This Row],[Start]])),0)</f>
        <v>22</v>
      </c>
      <c r="F27" s="5">
        <f>IFERROR(HOUR(Table1[[#This Row],[Stop]]-Table1[[#This Row],[Start]]),0)</f>
        <v>3</v>
      </c>
    </row>
    <row r="28" spans="1:6" x14ac:dyDescent="0.35">
      <c r="A28" s="7">
        <v>46052</v>
      </c>
      <c r="B28" s="2">
        <v>46052.52367696759</v>
      </c>
      <c r="C28" s="2">
        <v>46052.57707175926</v>
      </c>
      <c r="E28" s="5">
        <f>IFERROR(MINUTE((Table1[[#This Row],[Stop]]-Table1[[#This Row],[Start]])),0)</f>
        <v>16</v>
      </c>
      <c r="F28" s="5">
        <f>IFERROR(HOUR(Table1[[#This Row],[Stop]]-Table1[[#This Row],[Start]]),0)</f>
        <v>1</v>
      </c>
    </row>
    <row r="29" spans="1:6" x14ac:dyDescent="0.35">
      <c r="A29" s="7">
        <v>46053</v>
      </c>
      <c r="B29" s="2" t="s">
        <v>13</v>
      </c>
      <c r="C29" s="2" t="s">
        <v>13</v>
      </c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 t="s">
        <v>13</v>
      </c>
      <c r="C30" s="2" t="s">
        <v>13</v>
      </c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>
        <v>46055.511829745374</v>
      </c>
      <c r="C31" s="2">
        <v>46055.604791666665</v>
      </c>
      <c r="D31" s="5">
        <v>10</v>
      </c>
      <c r="E31" s="5">
        <f>IFERROR(MINUTE((Table1[[#This Row],[Stop]]-Table1[[#This Row],[Start]])),0)</f>
        <v>13</v>
      </c>
      <c r="F31" s="5">
        <f>IFERROR(HOUR(Table1[[#This Row],[Stop]]-Table1[[#This Row],[Start]]),0)</f>
        <v>2</v>
      </c>
    </row>
    <row r="32" spans="1:6" x14ac:dyDescent="0.35">
      <c r="A32" s="7">
        <v>46056</v>
      </c>
      <c r="B32" s="2">
        <v>46056.580678124999</v>
      </c>
      <c r="C32" s="2">
        <v>46056.75068287037</v>
      </c>
      <c r="E32" s="5">
        <f>IFERROR(MINUTE((Table1[[#This Row],[Stop]]-Table1[[#This Row],[Start]])),0)</f>
        <v>4</v>
      </c>
      <c r="F32" s="5">
        <f>IFERROR(HOUR(Table1[[#This Row],[Stop]]-Table1[[#This Row],[Start]]),0)</f>
        <v>4</v>
      </c>
    </row>
    <row r="33" spans="1:6" x14ac:dyDescent="0.35">
      <c r="A33" s="7">
        <v>46057</v>
      </c>
      <c r="B33" s="2">
        <v>46057.535749884257</v>
      </c>
      <c r="C33" s="2">
        <v>46057.688575</v>
      </c>
      <c r="E33" s="5">
        <f>IFERROR(MINUTE((Table1[[#This Row],[Stop]]-Table1[[#This Row],[Start]])),0)</f>
        <v>40</v>
      </c>
      <c r="F33" s="5">
        <f>IFERROR(HOUR(Table1[[#This Row],[Stop]]-Table1[[#This Row],[Start]]),0)</f>
        <v>3</v>
      </c>
    </row>
    <row r="34" spans="1:6" x14ac:dyDescent="0.35">
      <c r="A34" s="7">
        <v>46058</v>
      </c>
      <c r="B34" s="2">
        <v>46058.569537037038</v>
      </c>
      <c r="C34" s="2">
        <v>46058.958425925928</v>
      </c>
      <c r="E34" s="5">
        <f>IFERROR(MINUTE((Table1[[#This Row],[Stop]]-Table1[[#This Row],[Start]])),0)</f>
        <v>20</v>
      </c>
      <c r="F34" s="5">
        <f>IFERROR(HOUR(Table1[[#This Row],[Stop]]-Table1[[#This Row],[Start]]),0)</f>
        <v>9</v>
      </c>
    </row>
    <row r="35" spans="1:6" x14ac:dyDescent="0.35">
      <c r="A35" s="7">
        <v>46059</v>
      </c>
      <c r="B35" s="2">
        <v>46059.513006597219</v>
      </c>
      <c r="C35" s="2">
        <v>46059.61440972222</v>
      </c>
      <c r="D35" s="5">
        <v>10</v>
      </c>
      <c r="E35" s="5">
        <f>IFERROR(MINUTE((Table1[[#This Row],[Stop]]-Table1[[#This Row],[Start]])),0)</f>
        <v>26</v>
      </c>
      <c r="F35" s="5">
        <f>IFERROR(HOUR(Table1[[#This Row],[Stop]]-Table1[[#This Row],[Start]]),0)</f>
        <v>2</v>
      </c>
    </row>
    <row r="36" spans="1:6" x14ac:dyDescent="0.35">
      <c r="A36" s="7">
        <v>46060</v>
      </c>
      <c r="B36" s="2" t="s">
        <v>13</v>
      </c>
      <c r="C36" s="2" t="s">
        <v>13</v>
      </c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 t="s">
        <v>13</v>
      </c>
      <c r="C37" s="2" t="s">
        <v>13</v>
      </c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>
        <v>46062.532546527778</v>
      </c>
      <c r="C38" s="2">
        <v>46062.587678587966</v>
      </c>
      <c r="E38" s="5">
        <f>IFERROR(MINUTE((Table1[[#This Row],[Stop]]-Table1[[#This Row],[Start]])),0)</f>
        <v>19</v>
      </c>
      <c r="F38" s="5">
        <f>IFERROR(HOUR(Table1[[#This Row],[Stop]]-Table1[[#This Row],[Start]]),0)</f>
        <v>1</v>
      </c>
    </row>
    <row r="39" spans="1:6" x14ac:dyDescent="0.35">
      <c r="A39" s="7">
        <v>46063</v>
      </c>
      <c r="B39" s="2">
        <v>46063.570104166669</v>
      </c>
      <c r="C39" s="2">
        <v>46063.769618055558</v>
      </c>
      <c r="E39" s="5">
        <f>IFERROR(MINUTE((Table1[[#This Row],[Stop]]-Table1[[#This Row],[Start]])),0)</f>
        <v>47</v>
      </c>
      <c r="F39" s="5">
        <f>IFERROR(HOUR(Table1[[#This Row],[Stop]]-Table1[[#This Row],[Start]]),0)</f>
        <v>4</v>
      </c>
    </row>
    <row r="40" spans="1:6" x14ac:dyDescent="0.35">
      <c r="A40" s="7">
        <v>46064</v>
      </c>
      <c r="B40" s="2">
        <v>46064.534594907411</v>
      </c>
      <c r="C40" s="2">
        <v>46064.625451388885</v>
      </c>
      <c r="E40" s="5">
        <f>IFERROR(MINUTE((Table1[[#This Row],[Stop]]-Table1[[#This Row],[Start]])),0)</f>
        <v>10</v>
      </c>
      <c r="F40" s="5">
        <f>IFERROR(HOUR(Table1[[#This Row],[Stop]]-Table1[[#This Row],[Start]]),0)</f>
        <v>2</v>
      </c>
    </row>
    <row r="41" spans="1:6" x14ac:dyDescent="0.35">
      <c r="A41" s="7">
        <v>46065</v>
      </c>
      <c r="B41" s="2">
        <v>46065.555194328706</v>
      </c>
      <c r="C41" s="2">
        <v>46065.745251388886</v>
      </c>
      <c r="E41" s="5">
        <f>IFERROR(MINUTE((Table1[[#This Row],[Stop]]-Table1[[#This Row],[Start]])),0)</f>
        <v>33</v>
      </c>
      <c r="F41" s="5">
        <f>IFERROR(HOUR(Table1[[#This Row],[Stop]]-Table1[[#This Row],[Start]]),0)</f>
        <v>4</v>
      </c>
    </row>
    <row r="42" spans="1:6" x14ac:dyDescent="0.35">
      <c r="A42" s="7">
        <v>46066</v>
      </c>
      <c r="B42" s="2">
        <v>46066.568680555552</v>
      </c>
      <c r="C42" s="2">
        <v>46066.976203703707</v>
      </c>
      <c r="D42" s="5">
        <v>15</v>
      </c>
      <c r="E42" s="5">
        <f>IFERROR(MINUTE((Table1[[#This Row],[Stop]]-Table1[[#This Row],[Start]])),0)</f>
        <v>46</v>
      </c>
      <c r="F42" s="5">
        <f>IFERROR(HOUR(Table1[[#This Row],[Stop]]-Table1[[#This Row],[Start]]),0)</f>
        <v>9</v>
      </c>
    </row>
    <row r="43" spans="1:6" x14ac:dyDescent="0.35">
      <c r="A43" s="7">
        <v>46067</v>
      </c>
      <c r="B43" s="2" t="s">
        <v>13</v>
      </c>
      <c r="C43" s="2" t="s">
        <v>13</v>
      </c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 t="s">
        <v>13</v>
      </c>
      <c r="C44" s="2" t="s">
        <v>13</v>
      </c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 t="s">
        <v>13</v>
      </c>
      <c r="C45" s="2" t="s">
        <v>13</v>
      </c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>
        <v>46070.578633564815</v>
      </c>
      <c r="C46" s="2">
        <v>46070.708599537036</v>
      </c>
      <c r="E46" s="5">
        <f>IFERROR(MINUTE((Table1[[#This Row],[Stop]]-Table1[[#This Row],[Start]])),0)</f>
        <v>7</v>
      </c>
      <c r="F46" s="5">
        <f>IFERROR(HOUR(Table1[[#This Row],[Stop]]-Table1[[#This Row],[Start]]),0)</f>
        <v>3</v>
      </c>
    </row>
    <row r="47" spans="1:6" x14ac:dyDescent="0.35">
      <c r="A47" s="7">
        <v>46071</v>
      </c>
      <c r="B47" s="2" t="s">
        <v>13</v>
      </c>
      <c r="C47" s="2" t="s">
        <v>13</v>
      </c>
      <c r="D47" s="5">
        <v>60</v>
      </c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>
        <v>46072.625451388885</v>
      </c>
      <c r="C48" s="2">
        <v>46072.729618055557</v>
      </c>
      <c r="E48" s="5">
        <f>IFERROR(MINUTE((Table1[[#This Row],[Stop]]-Table1[[#This Row],[Start]])),0)</f>
        <v>30</v>
      </c>
      <c r="F48" s="5">
        <f>IFERROR(HOUR(Table1[[#This Row],[Stop]]-Table1[[#This Row],[Start]]),0)</f>
        <v>2</v>
      </c>
    </row>
    <row r="49" spans="1:6" x14ac:dyDescent="0.35">
      <c r="A49" s="7">
        <v>46073</v>
      </c>
      <c r="B49" s="2">
        <v>46073.472314814811</v>
      </c>
      <c r="C49" s="2">
        <v>46074.125613425924</v>
      </c>
      <c r="D49" s="5">
        <v>10</v>
      </c>
      <c r="E49" s="5">
        <f>IFERROR(MINUTE((Table1[[#This Row],[Stop]]-Table1[[#This Row],[Start]])),0)</f>
        <v>40</v>
      </c>
      <c r="F49" s="5">
        <f>IFERROR(HOUR(Table1[[#This Row],[Stop]]-Table1[[#This Row],[Start]]),0)</f>
        <v>15</v>
      </c>
    </row>
    <row r="50" spans="1:6" x14ac:dyDescent="0.35">
      <c r="A50" s="7">
        <v>46074</v>
      </c>
      <c r="B50" s="2" t="s">
        <v>13</v>
      </c>
      <c r="C50" s="2" t="s">
        <v>13</v>
      </c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>
        <v>46075.661360416663</v>
      </c>
      <c r="C51" s="2">
        <v>46075.683182870373</v>
      </c>
      <c r="E51" s="5">
        <f>IFERROR(MINUTE((Table1[[#This Row],[Stop]]-Table1[[#This Row],[Start]])),0)</f>
        <v>31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>
        <v>46076.486793981479</v>
      </c>
      <c r="C52" s="2">
        <v>46076.656846874997</v>
      </c>
      <c r="E52" s="5">
        <f>IFERROR(MINUTE((Table1[[#This Row],[Stop]]-Table1[[#This Row],[Start]])),0)</f>
        <v>4</v>
      </c>
      <c r="F52" s="5">
        <f>IFERROR(HOUR(Table1[[#This Row],[Stop]]-Table1[[#This Row],[Start]]),0)</f>
        <v>4</v>
      </c>
    </row>
    <row r="53" spans="1:6" x14ac:dyDescent="0.35">
      <c r="A53" s="7">
        <v>46077</v>
      </c>
      <c r="B53" s="4">
        <v>46077.555694444447</v>
      </c>
      <c r="C53" s="4">
        <v>46078.167118055557</v>
      </c>
      <c r="E53" s="5">
        <f>IFERROR(MINUTE((Table1[[#This Row],[Stop]]-Table1[[#This Row],[Start]])),0)</f>
        <v>40</v>
      </c>
      <c r="F53" s="5">
        <f>IFERROR(HOUR(Table1[[#This Row],[Stop]]-Table1[[#This Row],[Start]]),0)</f>
        <v>14</v>
      </c>
    </row>
    <row r="54" spans="1:6" x14ac:dyDescent="0.35">
      <c r="A54" s="7">
        <v>46078</v>
      </c>
      <c r="B54" s="2">
        <v>46078.470724305553</v>
      </c>
      <c r="C54" s="2">
        <v>46078.542256944442</v>
      </c>
      <c r="E54" s="5">
        <f>IFERROR(MINUTE((Table1[[#This Row],[Stop]]-Table1[[#This Row],[Start]])),0)</f>
        <v>43</v>
      </c>
      <c r="F54" s="5">
        <f>IFERROR(HOUR(Table1[[#This Row],[Stop]]-Table1[[#This Row],[Start]]),0)</f>
        <v>1</v>
      </c>
    </row>
    <row r="55" spans="1:6" x14ac:dyDescent="0.35">
      <c r="A55" s="7">
        <v>46079</v>
      </c>
      <c r="B55" s="2">
        <v>46079.585710995372</v>
      </c>
      <c r="C55" s="2">
        <v>46079.999594907407</v>
      </c>
      <c r="E55" s="5">
        <f>IFERROR(MINUTE((Table1[[#This Row],[Stop]]-Table1[[#This Row],[Start]])),0)</f>
        <v>56</v>
      </c>
      <c r="F55" s="5">
        <f>IFERROR(HOUR(Table1[[#This Row],[Stop]]-Table1[[#This Row],[Start]]),0)</f>
        <v>9</v>
      </c>
    </row>
    <row r="56" spans="1:6" x14ac:dyDescent="0.35">
      <c r="A56" s="7">
        <v>46080</v>
      </c>
      <c r="B56" s="4">
        <v>46080.583541666667</v>
      </c>
      <c r="C56" s="2">
        <v>46080.607357291665</v>
      </c>
      <c r="E56" s="5">
        <f>IFERROR(MINUTE((Table1[[#This Row],[Stop]]-Table1[[#This Row],[Start]])),0)</f>
        <v>34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 t="s">
        <v>13</v>
      </c>
      <c r="C57" s="2" t="s">
        <v>13</v>
      </c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 t="s">
        <v>13</v>
      </c>
      <c r="C58" s="2" t="s">
        <v>13</v>
      </c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2026-02-27T21:34:51Z</dcterms:modified>
</cp:coreProperties>
</file>