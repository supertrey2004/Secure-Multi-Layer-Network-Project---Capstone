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6E3252AD-8B74-49A3-81C7-67622584DAA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1" l="1"/>
  <c r="O7" i="1" s="1"/>
  <c r="Q7" i="1" s="1"/>
  <c r="E21" i="1"/>
  <c r="Q12" i="1"/>
  <c r="Q8" i="1"/>
  <c r="Q9" i="1"/>
  <c r="Q10" i="1"/>
  <c r="Q11" i="1"/>
  <c r="Q3" i="1"/>
  <c r="O3" i="1"/>
  <c r="P3" i="1"/>
  <c r="E71" i="1"/>
  <c r="F71" i="1"/>
  <c r="E72" i="1"/>
  <c r="F72" i="1"/>
  <c r="E73" i="1"/>
  <c r="F73" i="1"/>
  <c r="E74" i="1"/>
  <c r="F74" i="1"/>
  <c r="E75" i="1"/>
  <c r="F75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E70" i="1"/>
  <c r="F70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I6" i="1"/>
  <c r="H6" i="1"/>
  <c r="P6" i="1" l="1"/>
  <c r="O6" i="1" s="1"/>
  <c r="Q6" i="1" s="1"/>
  <c r="P5" i="1"/>
  <c r="O5" i="1" s="1"/>
  <c r="Q5" i="1" s="1"/>
  <c r="O4" i="1"/>
  <c r="Q4" i="1" s="1"/>
  <c r="I3" i="1"/>
  <c r="H3" i="1" s="1"/>
  <c r="J3" i="1" s="1"/>
  <c r="K3" i="1" s="1"/>
</calcChain>
</file>

<file path=xl/sharedStrings.xml><?xml version="1.0" encoding="utf-8"?>
<sst xmlns="http://schemas.openxmlformats.org/spreadsheetml/2006/main" count="29" uniqueCount="17">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</sst>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workbookViewId="0">
      <selection activeCell="J24" sqref="J24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>SUM(E:E) + (I3*60) + SUM(D:D)</f>
        <v>4622</v>
      </c>
      <c r="I3" s="6">
        <f>SUM(F:F)</f>
        <v>70</v>
      </c>
      <c r="J3" s="5">
        <f>Table2[[#This Row],[Total Minutes]]/60</f>
        <v>77.033333333333331</v>
      </c>
      <c r="K3" s="1" t="str">
        <f>IF(Table2[[#This Row],[Hour Percent]] &gt;= Table2[[#This Row],[Hours Needed]], "Hours have been met", "More hours needed")</f>
        <v>More hours needed</v>
      </c>
      <c r="L3" s="1">
        <v>80</v>
      </c>
      <c r="N3" s="1">
        <v>1</v>
      </c>
      <c r="O3" s="6">
        <f>SUM(E3:E9) + (60*P3)</f>
        <v>601</v>
      </c>
      <c r="P3" s="6">
        <f>SUM(F3:F9)</f>
        <v>9</v>
      </c>
      <c r="Q3" s="5">
        <f>O3/60</f>
        <v>10.016666666666667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SUM(E10:E16)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SUM(E17:E23)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46052.565440740742</v>
      </c>
      <c r="I6" s="4">
        <f ca="1">NOW()</f>
        <v>46052.565440740742</v>
      </c>
      <c r="N6" s="1">
        <v>4</v>
      </c>
      <c r="O6" s="6">
        <f>SUM(E24:E30)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SUM(E31:E37) + (60*P7)</f>
        <v>0</v>
      </c>
      <c r="P7" s="6">
        <f>SUM(F31:F37)</f>
        <v>0</v>
      </c>
      <c r="Q7" s="5">
        <f t="shared" si="0"/>
        <v>0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/>
      <c r="P8" s="6"/>
      <c r="Q8" s="5">
        <f t="shared" si="0"/>
        <v>0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/>
      <c r="P9" s="6"/>
      <c r="Q9" s="5">
        <f t="shared" si="0"/>
        <v>0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/>
      <c r="P10" s="6"/>
      <c r="Q10" s="5">
        <f t="shared" si="0"/>
        <v>0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/>
      <c r="C29" s="2"/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/>
      <c r="C30" s="2"/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/>
      <c r="C31" s="2"/>
      <c r="E31" s="5">
        <f>IFERROR(MINUTE((Table1[[#This Row],[Stop]]-Table1[[#This Row],[Start]])),0)</f>
        <v>0</v>
      </c>
      <c r="F31" s="5">
        <f>IFERROR(HOUR(Table1[[#This Row],[Stop]]-Table1[[#This Row],[Start]]),0)</f>
        <v>0</v>
      </c>
    </row>
    <row r="32" spans="1:6" x14ac:dyDescent="0.35">
      <c r="A32" s="7">
        <v>46056</v>
      </c>
      <c r="B32" s="2"/>
      <c r="C32" s="2"/>
      <c r="E32" s="5">
        <f>IFERROR(MINUTE((Table1[[#This Row],[Stop]]-Table1[[#This Row],[Start]])),0)</f>
        <v>0</v>
      </c>
      <c r="F32" s="5">
        <f>IFERROR(HOUR(Table1[[#This Row],[Stop]]-Table1[[#This Row],[Start]]),0)</f>
        <v>0</v>
      </c>
    </row>
    <row r="33" spans="1:6" x14ac:dyDescent="0.35">
      <c r="A33" s="7">
        <v>46057</v>
      </c>
      <c r="B33" s="2"/>
      <c r="C33" s="2"/>
      <c r="E33" s="5">
        <f>IFERROR(MINUTE((Table1[[#This Row],[Stop]]-Table1[[#This Row],[Start]])),0)</f>
        <v>0</v>
      </c>
      <c r="F33" s="5">
        <f>IFERROR(HOUR(Table1[[#This Row],[Stop]]-Table1[[#This Row],[Start]]),0)</f>
        <v>0</v>
      </c>
    </row>
    <row r="34" spans="1:6" x14ac:dyDescent="0.35">
      <c r="A34" s="7">
        <v>46058</v>
      </c>
      <c r="B34" s="2"/>
      <c r="C34" s="2"/>
      <c r="E34" s="5">
        <f>IFERROR(MINUTE((Table1[[#This Row],[Stop]]-Table1[[#This Row],[Start]])),0)</f>
        <v>0</v>
      </c>
      <c r="F34" s="5">
        <f>IFERROR(HOUR(Table1[[#This Row],[Stop]]-Table1[[#This Row],[Start]]),0)</f>
        <v>0</v>
      </c>
    </row>
    <row r="35" spans="1:6" x14ac:dyDescent="0.35">
      <c r="A35" s="7">
        <v>46059</v>
      </c>
      <c r="B35" s="2"/>
      <c r="C35" s="2"/>
      <c r="E35" s="5">
        <f>IFERROR(MINUTE((Table1[[#This Row],[Stop]]-Table1[[#This Row],[Start]])),0)</f>
        <v>0</v>
      </c>
      <c r="F35" s="5">
        <f>IFERROR(HOUR(Table1[[#This Row],[Stop]]-Table1[[#This Row],[Start]]),0)</f>
        <v>0</v>
      </c>
    </row>
    <row r="36" spans="1:6" x14ac:dyDescent="0.35">
      <c r="A36" s="7">
        <v>46060</v>
      </c>
      <c r="B36" s="2"/>
      <c r="C36" s="2"/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/>
      <c r="C37" s="2"/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/>
      <c r="C38" s="2"/>
      <c r="E38" s="5">
        <f>IFERROR(MINUTE((Table1[[#This Row],[Stop]]-Table1[[#This Row],[Start]])),0)</f>
        <v>0</v>
      </c>
      <c r="F38" s="5">
        <f>IFERROR(HOUR(Table1[[#This Row],[Stop]]-Table1[[#This Row],[Start]]),0)</f>
        <v>0</v>
      </c>
    </row>
    <row r="39" spans="1:6" x14ac:dyDescent="0.35">
      <c r="A39" s="7">
        <v>46063</v>
      </c>
      <c r="B39" s="2"/>
      <c r="C39" s="2"/>
      <c r="E39" s="5">
        <f>IFERROR(MINUTE((Table1[[#This Row],[Stop]]-Table1[[#This Row],[Start]])),0)</f>
        <v>0</v>
      </c>
      <c r="F39" s="5">
        <f>IFERROR(HOUR(Table1[[#This Row],[Stop]]-Table1[[#This Row],[Start]]),0)</f>
        <v>0</v>
      </c>
    </row>
    <row r="40" spans="1:6" x14ac:dyDescent="0.35">
      <c r="A40" s="7">
        <v>46064</v>
      </c>
      <c r="B40" s="2"/>
      <c r="C40" s="2"/>
      <c r="E40" s="5">
        <f>IFERROR(MINUTE((Table1[[#This Row],[Stop]]-Table1[[#This Row],[Start]])),0)</f>
        <v>0</v>
      </c>
      <c r="F40" s="5">
        <f>IFERROR(HOUR(Table1[[#This Row],[Stop]]-Table1[[#This Row],[Start]]),0)</f>
        <v>0</v>
      </c>
    </row>
    <row r="41" spans="1:6" x14ac:dyDescent="0.35">
      <c r="A41" s="7">
        <v>46065</v>
      </c>
      <c r="B41" s="2"/>
      <c r="C41" s="2"/>
      <c r="E41" s="5">
        <f>IFERROR(MINUTE((Table1[[#This Row],[Stop]]-Table1[[#This Row],[Start]])),0)</f>
        <v>0</v>
      </c>
      <c r="F41" s="5">
        <f>IFERROR(HOUR(Table1[[#This Row],[Stop]]-Table1[[#This Row],[Start]]),0)</f>
        <v>0</v>
      </c>
    </row>
    <row r="42" spans="1:6" x14ac:dyDescent="0.35">
      <c r="A42" s="7">
        <v>46066</v>
      </c>
      <c r="B42" s="2"/>
      <c r="C42" s="2"/>
      <c r="E42" s="5">
        <f>IFERROR(MINUTE((Table1[[#This Row],[Stop]]-Table1[[#This Row],[Start]])),0)</f>
        <v>0</v>
      </c>
      <c r="F42" s="5">
        <f>IFERROR(HOUR(Table1[[#This Row],[Stop]]-Table1[[#This Row],[Start]]),0)</f>
        <v>0</v>
      </c>
    </row>
    <row r="43" spans="1:6" x14ac:dyDescent="0.35">
      <c r="A43" s="7">
        <v>46067</v>
      </c>
      <c r="B43" s="2"/>
      <c r="C43" s="2"/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/>
      <c r="C44" s="2"/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/>
      <c r="C45" s="2"/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/>
      <c r="C46" s="2"/>
      <c r="E46" s="5">
        <f>IFERROR(MINUTE((Table1[[#This Row],[Stop]]-Table1[[#This Row],[Start]])),0)</f>
        <v>0</v>
      </c>
      <c r="F46" s="5">
        <f>IFERROR(HOUR(Table1[[#This Row],[Stop]]-Table1[[#This Row],[Start]]),0)</f>
        <v>0</v>
      </c>
    </row>
    <row r="47" spans="1:6" x14ac:dyDescent="0.35">
      <c r="A47" s="7">
        <v>46071</v>
      </c>
      <c r="B47" s="2"/>
      <c r="C47" s="2"/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/>
      <c r="C48" s="2"/>
      <c r="E48" s="5">
        <f>IFERROR(MINUTE((Table1[[#This Row],[Stop]]-Table1[[#This Row],[Start]])),0)</f>
        <v>0</v>
      </c>
      <c r="F48" s="5">
        <f>IFERROR(HOUR(Table1[[#This Row],[Stop]]-Table1[[#This Row],[Start]]),0)</f>
        <v>0</v>
      </c>
    </row>
    <row r="49" spans="1:6" x14ac:dyDescent="0.35">
      <c r="A49" s="7">
        <v>46073</v>
      </c>
      <c r="B49" s="2"/>
      <c r="C49" s="2"/>
      <c r="E49" s="5">
        <f>IFERROR(MINUTE((Table1[[#This Row],[Stop]]-Table1[[#This Row],[Start]])),0)</f>
        <v>0</v>
      </c>
      <c r="F49" s="5">
        <f>IFERROR(HOUR(Table1[[#This Row],[Stop]]-Table1[[#This Row],[Start]]),0)</f>
        <v>0</v>
      </c>
    </row>
    <row r="50" spans="1:6" x14ac:dyDescent="0.35">
      <c r="A50" s="7">
        <v>46074</v>
      </c>
      <c r="B50" s="2"/>
      <c r="C50" s="2"/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/>
      <c r="C51" s="2"/>
      <c r="E51" s="5">
        <f>IFERROR(MINUTE((Table1[[#This Row],[Stop]]-Table1[[#This Row],[Start]])),0)</f>
        <v>0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/>
      <c r="C52" s="2"/>
      <c r="E52" s="5">
        <f>IFERROR(MINUTE((Table1[[#This Row],[Stop]]-Table1[[#This Row],[Start]])),0)</f>
        <v>0</v>
      </c>
      <c r="F52" s="5">
        <f>IFERROR(HOUR(Table1[[#This Row],[Stop]]-Table1[[#This Row],[Start]]),0)</f>
        <v>0</v>
      </c>
    </row>
    <row r="53" spans="1:6" x14ac:dyDescent="0.35">
      <c r="A53" s="7">
        <v>46077</v>
      </c>
      <c r="B53" s="2"/>
      <c r="C53" s="2"/>
      <c r="E53" s="5">
        <f>IFERROR(MINUTE((Table1[[#This Row],[Stop]]-Table1[[#This Row],[Start]])),0)</f>
        <v>0</v>
      </c>
      <c r="F53" s="5">
        <f>IFERROR(HOUR(Table1[[#This Row],[Stop]]-Table1[[#This Row],[Start]]),0)</f>
        <v>0</v>
      </c>
    </row>
    <row r="54" spans="1:6" x14ac:dyDescent="0.35">
      <c r="A54" s="7">
        <v>46078</v>
      </c>
      <c r="B54" s="2"/>
      <c r="C54" s="2"/>
      <c r="E54" s="5">
        <f>IFERROR(MINUTE((Table1[[#This Row],[Stop]]-Table1[[#This Row],[Start]])),0)</f>
        <v>0</v>
      </c>
      <c r="F54" s="5">
        <f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2026-01-30T20:34:28Z</dcterms:modified>
</cp:coreProperties>
</file>