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1E60F1CC-1625-4F71-B9EC-C754194061BC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1" l="1"/>
  <c r="O6" i="1"/>
  <c r="Q6" i="1" s="1"/>
  <c r="P6" i="1"/>
  <c r="Q12" i="1"/>
  <c r="Q7" i="1"/>
  <c r="Q8" i="1"/>
  <c r="Q9" i="1"/>
  <c r="Q10" i="1"/>
  <c r="Q11" i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5" i="1" l="1"/>
  <c r="O5" i="1" s="1"/>
  <c r="Q5" i="1" s="1"/>
  <c r="O4" i="1"/>
  <c r="Q4" i="1" s="1"/>
  <c r="I3" i="1"/>
  <c r="H3" i="1" s="1"/>
  <c r="J3" i="1" s="1"/>
  <c r="K3" i="1" s="1"/>
</calcChain>
</file>

<file path=xl/sharedStrings.xml><?xml version="1.0" encoding="utf-8"?>
<sst xmlns="http://schemas.openxmlformats.org/spreadsheetml/2006/main" count="29" uniqueCount="17">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</sst>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C21" sqref="C21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 ca="1">SUM(E:E) + (I3*60) + SUM(D:D)</f>
        <v>3222</v>
      </c>
      <c r="I3" s="6">
        <f ca="1">SUM(F:F)</f>
        <v>49</v>
      </c>
      <c r="J3" s="5">
        <f ca="1">Table2[[#This Row],[Total Minutes]]/60</f>
        <v>53.7</v>
      </c>
      <c r="K3" s="1" t="str">
        <f ca="1">IF(Table2[[#This Row],[Hour Percent]] &gt;= Table2[[#This Row],[Hours Needed]], "Hours have been met", "More hours needed")</f>
        <v>More hours needed</v>
      </c>
      <c r="L3" s="1">
        <v>80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 ca="1">SUM(E17:E23) + (60*P5)</f>
        <v>1403</v>
      </c>
      <c r="P5" s="6">
        <f ca="1">SUM(F17:F23)</f>
        <v>22</v>
      </c>
      <c r="Q5" s="5">
        <f t="shared" ref="Q5:Q11" ca="1" si="0">O5/60</f>
        <v>23.383333333333333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46045.667283564813</v>
      </c>
      <c r="I6" s="4">
        <f ca="1">NOW()</f>
        <v>46045.667283564813</v>
      </c>
      <c r="N6" s="1">
        <v>4</v>
      </c>
      <c r="O6" s="6">
        <f>SUM(E24:E30) + (60*P6)</f>
        <v>0</v>
      </c>
      <c r="P6" s="6">
        <f>SUM(F24:F30)</f>
        <v>0</v>
      </c>
      <c r="Q6" s="5">
        <f t="shared" si="0"/>
        <v>0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/>
      <c r="P7" s="6"/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4">
        <f ca="1">NOW()</f>
        <v>46045.667283564813</v>
      </c>
      <c r="E21" s="5">
        <f ca="1">IFERROR(MINUTE((Table1[[#This Row],[Stop]]-Table1[[#This Row],[Start]])),0)</f>
        <v>25</v>
      </c>
      <c r="F21" s="5">
        <f ca="1"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/>
      <c r="C24" s="2"/>
      <c r="E24" s="5">
        <f>IFERROR(MINUTE((Table1[[#This Row],[Stop]]-Table1[[#This Row],[Start]])),0)</f>
        <v>0</v>
      </c>
      <c r="F24" s="5">
        <f>IFERROR(HOUR(Table1[[#This Row],[Stop]]-Table1[[#This Row],[Start]]),0)</f>
        <v>0</v>
      </c>
    </row>
    <row r="25" spans="1:6" x14ac:dyDescent="0.35">
      <c r="A25" s="7">
        <v>46049</v>
      </c>
      <c r="B25" s="2"/>
      <c r="C25" s="2"/>
      <c r="E25" s="5">
        <f>IFERROR(MINUTE((Table1[[#This Row],[Stop]]-Table1[[#This Row],[Start]])),0)</f>
        <v>0</v>
      </c>
      <c r="F25" s="5">
        <f>IFERROR(HOUR(Table1[[#This Row],[Stop]]-Table1[[#This Row],[Start]]),0)</f>
        <v>0</v>
      </c>
    </row>
    <row r="26" spans="1:6" x14ac:dyDescent="0.35">
      <c r="A26" s="7">
        <v>46050</v>
      </c>
      <c r="B26" s="2"/>
      <c r="C26" s="2"/>
      <c r="E26" s="5">
        <f>IFERROR(MINUTE((Table1[[#This Row],[Stop]]-Table1[[#This Row],[Start]])),0)</f>
        <v>0</v>
      </c>
      <c r="F26" s="5">
        <f>IFERROR(HOUR(Table1[[#This Row],[Stop]]-Table1[[#This Row],[Start]]),0)</f>
        <v>0</v>
      </c>
    </row>
    <row r="27" spans="1:6" x14ac:dyDescent="0.35">
      <c r="A27" s="7">
        <v>46051</v>
      </c>
      <c r="B27" s="2"/>
      <c r="C27" s="2"/>
      <c r="E27" s="5">
        <f>IFERROR(MINUTE((Table1[[#This Row],[Stop]]-Table1[[#This Row],[Start]])),0)</f>
        <v>0</v>
      </c>
      <c r="F27" s="5">
        <f>IFERROR(HOUR(Table1[[#This Row],[Stop]]-Table1[[#This Row],[Start]]),0)</f>
        <v>0</v>
      </c>
    </row>
    <row r="28" spans="1:6" x14ac:dyDescent="0.35">
      <c r="A28" s="7">
        <v>46052</v>
      </c>
      <c r="B28" s="2"/>
      <c r="C28" s="2"/>
      <c r="E28" s="5">
        <f>IFERROR(MINUTE((Table1[[#This Row],[Stop]]-Table1[[#This Row],[Start]])),0)</f>
        <v>0</v>
      </c>
      <c r="F28" s="5">
        <f>IFERROR(HOUR(Table1[[#This Row],[Stop]]-Table1[[#This Row],[Start]]),0)</f>
        <v>0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2026-01-23T23:01:03Z</dcterms:modified>
</cp:coreProperties>
</file>