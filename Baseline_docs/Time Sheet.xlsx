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CEE8CFDE-EA3E-4B20-8276-93FE3514160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" i="1" l="1"/>
  <c r="Q6" i="1"/>
  <c r="Q7" i="1"/>
  <c r="Q8" i="1"/>
  <c r="Q9" i="1"/>
  <c r="Q10" i="1"/>
  <c r="Q11" i="1"/>
  <c r="P5" i="1"/>
  <c r="O5" i="1"/>
  <c r="Q5" i="1" s="1"/>
  <c r="Q4" i="1"/>
  <c r="O4" i="1"/>
  <c r="P4" i="1"/>
  <c r="Q3" i="1"/>
  <c r="O3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I3" i="1" l="1"/>
  <c r="H3" i="1" s="1"/>
  <c r="J3" i="1" s="1"/>
  <c r="K3" i="1" s="1"/>
</calcChain>
</file>

<file path=xl/sharedStrings.xml><?xml version="1.0" encoding="utf-8"?>
<sst xmlns="http://schemas.openxmlformats.org/spreadsheetml/2006/main" count="21" uniqueCount="17">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</sst>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4" dataDxfId="5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0"/>
    <tableColumn id="4" xr3:uid="{8911D862-F455-4BFD-BDFF-6839D678C8CE}" name="Hour %" dataDxfId="1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K15" sqref="K15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1579</v>
      </c>
      <c r="I3" s="6">
        <f>SUM(F:F)</f>
        <v>23</v>
      </c>
      <c r="J3" s="5">
        <f>Table2[[#This Row],[Total Minutes]]/60</f>
        <v>26.316666666666666</v>
      </c>
      <c r="K3" s="1" t="str">
        <f>IF(Table2[[#This Row],[Hour Percent]] &gt;= Table2[[#This Row],[Hours Needed]], "Hours have been met", "More hours needed")</f>
        <v>More hours needed</v>
      </c>
      <c r="L3" s="1">
        <v>40</v>
      </c>
      <c r="N3" s="1">
        <v>1</v>
      </c>
      <c r="O3" s="6">
        <f>SUM(E3:E9) + (60*P3)</f>
        <v>601</v>
      </c>
      <c r="P3" s="6">
        <f>SUM(F3:F9)</f>
        <v>9</v>
      </c>
      <c r="Q3" s="5">
        <f>O3/60</f>
        <v>10.016666666666667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SUM(E10:E16) + (60*P4)</f>
        <v>973</v>
      </c>
      <c r="P4" s="6">
        <f>SUM(F10:F16)</f>
        <v>14</v>
      </c>
      <c r="Q4" s="5">
        <f>O4/60</f>
        <v>16.216666666666665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SUM(E17:E23) + (60*P5)</f>
        <v>0</v>
      </c>
      <c r="P5" s="6">
        <f>SUM(F17:F23)</f>
        <v>0</v>
      </c>
      <c r="Q5" s="5">
        <f t="shared" ref="Q5:Q12" si="0">O5/60</f>
        <v>0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46037.670982291667</v>
      </c>
      <c r="I6" s="4">
        <f ca="1">NOW()</f>
        <v>46037.670982291667</v>
      </c>
      <c r="N6" s="1">
        <v>4</v>
      </c>
      <c r="O6" s="6"/>
      <c r="P6" s="6"/>
      <c r="Q6" s="5">
        <f t="shared" si="0"/>
        <v>0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/>
      <c r="P7" s="6"/>
      <c r="Q7" s="5">
        <f t="shared" si="0"/>
        <v>0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/>
      <c r="P8" s="6"/>
      <c r="Q8" s="5">
        <f t="shared" si="0"/>
        <v>0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/>
      <c r="P9" s="6"/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/>
      <c r="C14" s="2"/>
      <c r="E14" s="5">
        <f>IFERROR(MINUTE((Table1[[#This Row],[Stop]]-Table1[[#This Row],[Start]])),0)</f>
        <v>0</v>
      </c>
      <c r="F14" s="5">
        <f>IFERROR(HOUR(Table1[[#This Row],[Stop]]-Table1[[#This Row],[Start]]),0)</f>
        <v>0</v>
      </c>
    </row>
    <row r="15" spans="1:17" x14ac:dyDescent="0.35">
      <c r="A15" s="7">
        <v>46039</v>
      </c>
      <c r="B15" s="2"/>
      <c r="C15" s="2"/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/>
      <c r="C16" s="2"/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/>
      <c r="C17" s="2"/>
      <c r="E17" s="5">
        <f>IFERROR(MINUTE((Table1[[#This Row],[Stop]]-Table1[[#This Row],[Start]])),0)</f>
        <v>0</v>
      </c>
      <c r="F17" s="5">
        <f>IFERROR(HOUR(Table1[[#This Row],[Stop]]-Table1[[#This Row],[Start]]),0)</f>
        <v>0</v>
      </c>
    </row>
    <row r="18" spans="1:6" x14ac:dyDescent="0.35">
      <c r="A18" s="7">
        <v>46042</v>
      </c>
      <c r="B18" s="2"/>
      <c r="C18" s="2"/>
      <c r="E18" s="5">
        <f>IFERROR(MINUTE((Table1[[#This Row],[Stop]]-Table1[[#This Row],[Start]])),0)</f>
        <v>0</v>
      </c>
      <c r="F18" s="5">
        <f>IFERROR(HOUR(Table1[[#This Row],[Stop]]-Table1[[#This Row],[Start]]),0)</f>
        <v>0</v>
      </c>
    </row>
    <row r="19" spans="1:6" x14ac:dyDescent="0.35">
      <c r="A19" s="7">
        <v>46043</v>
      </c>
      <c r="B19" s="2"/>
      <c r="C19" s="2"/>
      <c r="E19" s="5">
        <f>IFERROR(MINUTE((Table1[[#This Row],[Stop]]-Table1[[#This Row],[Start]])),0)</f>
        <v>0</v>
      </c>
      <c r="F19" s="5">
        <f>IFERROR(HOUR(Table1[[#This Row],[Stop]]-Table1[[#This Row],[Start]]),0)</f>
        <v>0</v>
      </c>
    </row>
    <row r="20" spans="1:6" x14ac:dyDescent="0.35">
      <c r="A20" s="7">
        <v>46044</v>
      </c>
      <c r="B20" s="2"/>
      <c r="C20" s="2"/>
      <c r="E20" s="5">
        <f>IFERROR(MINUTE((Table1[[#This Row],[Stop]]-Table1[[#This Row],[Start]])),0)</f>
        <v>0</v>
      </c>
      <c r="F20" s="5">
        <f>IFERROR(HOUR(Table1[[#This Row],[Stop]]-Table1[[#This Row],[Start]]),0)</f>
        <v>0</v>
      </c>
    </row>
    <row r="21" spans="1:6" x14ac:dyDescent="0.35">
      <c r="A21" s="7">
        <v>46045</v>
      </c>
      <c r="B21" s="2"/>
      <c r="C21" s="2"/>
      <c r="E21" s="5">
        <f>IFERROR(MINUTE((Table1[[#This Row],[Stop]]-Table1[[#This Row],[Start]])),0)</f>
        <v>0</v>
      </c>
      <c r="F21" s="5">
        <f>IFERROR(HOUR(Table1[[#This Row],[Stop]]-Table1[[#This Row],[Start]]),0)</f>
        <v>0</v>
      </c>
    </row>
    <row r="22" spans="1:6" x14ac:dyDescent="0.35">
      <c r="A22" s="7">
        <v>46046</v>
      </c>
      <c r="B22" s="2"/>
      <c r="C22" s="2"/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/>
      <c r="C23" s="2"/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/>
      <c r="C24" s="2"/>
      <c r="E24" s="5">
        <f>IFERROR(MINUTE((Table1[[#This Row],[Stop]]-Table1[[#This Row],[Start]])),0)</f>
        <v>0</v>
      </c>
      <c r="F24" s="5">
        <f>IFERROR(HOUR(Table1[[#This Row],[Stop]]-Table1[[#This Row],[Start]]),0)</f>
        <v>0</v>
      </c>
    </row>
    <row r="25" spans="1:6" x14ac:dyDescent="0.35">
      <c r="A25" s="7">
        <v>46049</v>
      </c>
      <c r="B25" s="2"/>
      <c r="C25" s="2"/>
      <c r="E25" s="5">
        <f>IFERROR(MINUTE((Table1[[#This Row],[Stop]]-Table1[[#This Row],[Start]])),0)</f>
        <v>0</v>
      </c>
      <c r="F25" s="5">
        <f>IFERROR(HOUR(Table1[[#This Row],[Stop]]-Table1[[#This Row],[Start]]),0)</f>
        <v>0</v>
      </c>
    </row>
    <row r="26" spans="1:6" x14ac:dyDescent="0.35">
      <c r="A26" s="7">
        <v>46050</v>
      </c>
      <c r="B26" s="2"/>
      <c r="C26" s="2"/>
      <c r="E26" s="5">
        <f>IFERROR(MINUTE((Table1[[#This Row],[Stop]]-Table1[[#This Row],[Start]])),0)</f>
        <v>0</v>
      </c>
      <c r="F26" s="5">
        <f>IFERROR(HOUR(Table1[[#This Row],[Stop]]-Table1[[#This Row],[Start]]),0)</f>
        <v>0</v>
      </c>
    </row>
    <row r="27" spans="1:6" x14ac:dyDescent="0.35">
      <c r="A27" s="7">
        <v>46051</v>
      </c>
      <c r="B27" s="2"/>
      <c r="C27" s="2"/>
      <c r="E27" s="5">
        <f>IFERROR(MINUTE((Table1[[#This Row],[Stop]]-Table1[[#This Row],[Start]])),0)</f>
        <v>0</v>
      </c>
      <c r="F27" s="5">
        <f>IFERROR(HOUR(Table1[[#This Row],[Stop]]-Table1[[#This Row],[Start]]),0)</f>
        <v>0</v>
      </c>
    </row>
    <row r="28" spans="1:6" x14ac:dyDescent="0.35">
      <c r="A28" s="7">
        <v>46052</v>
      </c>
      <c r="B28" s="2"/>
      <c r="C28" s="2"/>
      <c r="E28" s="5">
        <f>IFERROR(MINUTE((Table1[[#This Row],[Stop]]-Table1[[#This Row],[Start]])),0)</f>
        <v>0</v>
      </c>
      <c r="F28" s="5">
        <f>IFERROR(HOUR(Table1[[#This Row],[Stop]]-Table1[[#This Row],[Start]]),0)</f>
        <v>0</v>
      </c>
    </row>
    <row r="29" spans="1:6" x14ac:dyDescent="0.35">
      <c r="A29" s="7">
        <v>46053</v>
      </c>
      <c r="B29" s="2"/>
      <c r="C29" s="2"/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/>
      <c r="C30" s="2"/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/>
      <c r="C31" s="2"/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2026-01-15T23:06:49Z</dcterms:modified>
</cp:coreProperties>
</file>