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936FA93D-5D91-4E73-9991-C3DE0B274B9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2" i="1" l="1"/>
  <c r="Q6" i="1"/>
  <c r="Q7" i="1"/>
  <c r="Q8" i="1"/>
  <c r="Q9" i="1"/>
  <c r="Q10" i="1"/>
  <c r="Q11" i="1"/>
  <c r="P5" i="1"/>
  <c r="O5" i="1"/>
  <c r="Q5" i="1" s="1"/>
  <c r="Q3" i="1"/>
  <c r="O3" i="1"/>
  <c r="P3" i="1"/>
  <c r="E71" i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P4" i="1" s="1"/>
  <c r="O4" i="1" s="1"/>
  <c r="Q4" i="1" s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I3" i="1" l="1"/>
  <c r="H3" i="1" s="1"/>
  <c r="J3" i="1" s="1"/>
  <c r="K3" i="1" s="1"/>
</calcChain>
</file>

<file path=xl/sharedStrings.xml><?xml version="1.0" encoding="utf-8"?>
<sst xmlns="http://schemas.openxmlformats.org/spreadsheetml/2006/main" count="21" uniqueCount="17">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</sst>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workbookViewId="0">
      <selection activeCell="J18" sqref="J18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1819</v>
      </c>
      <c r="I3" s="6">
        <f>SUM(F:F)</f>
        <v>27</v>
      </c>
      <c r="J3" s="5">
        <f>Table2[[#This Row],[Total Minutes]]/60</f>
        <v>30.316666666666666</v>
      </c>
      <c r="K3" s="1" t="str">
        <f>IF(Table2[[#This Row],[Hour Percent]] &gt;= Table2[[#This Row],[Hours Needed]], "Hours have been met", "More hours needed")</f>
        <v>More hours needed</v>
      </c>
      <c r="L3" s="1">
        <v>40</v>
      </c>
      <c r="N3" s="1">
        <v>1</v>
      </c>
      <c r="O3" s="6">
        <f>SUM(E3:E9) + (60*P3)</f>
        <v>601</v>
      </c>
      <c r="P3" s="6">
        <f>SUM(F3:F9)</f>
        <v>9</v>
      </c>
      <c r="Q3" s="5">
        <f>O3/60</f>
        <v>10.016666666666667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SUM(E10:E16)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SUM(E17:E23) + (60*P5)</f>
        <v>0</v>
      </c>
      <c r="P5" s="6">
        <f>SUM(F17:F23)</f>
        <v>0</v>
      </c>
      <c r="Q5" s="5">
        <f t="shared" ref="Q5:Q11" si="0">O5/60</f>
        <v>0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46038.653016550925</v>
      </c>
      <c r="I6" s="4">
        <f ca="1">NOW()</f>
        <v>46038.653016550925</v>
      </c>
      <c r="N6" s="1">
        <v>4</v>
      </c>
      <c r="O6" s="6"/>
      <c r="P6" s="6"/>
      <c r="Q6" s="5">
        <f t="shared" si="0"/>
        <v>0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/>
      <c r="P7" s="6"/>
      <c r="Q7" s="5">
        <f t="shared" si="0"/>
        <v>0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/>
      <c r="P8" s="6"/>
      <c r="Q8" s="5">
        <f t="shared" si="0"/>
        <v>0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/>
      <c r="P9" s="6"/>
      <c r="Q9" s="5">
        <f t="shared" si="0"/>
        <v>0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/>
      <c r="P10" s="6"/>
      <c r="Q10" s="5">
        <f t="shared" si="0"/>
        <v>0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/>
      <c r="P11" s="6"/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/>
      <c r="C15" s="2"/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/>
      <c r="C16" s="2"/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/>
      <c r="C17" s="2"/>
      <c r="E17" s="5">
        <f>IFERROR(MINUTE((Table1[[#This Row],[Stop]]-Table1[[#This Row],[Start]])),0)</f>
        <v>0</v>
      </c>
      <c r="F17" s="5">
        <f>IFERROR(HOUR(Table1[[#This Row],[Stop]]-Table1[[#This Row],[Start]]),0)</f>
        <v>0</v>
      </c>
    </row>
    <row r="18" spans="1:6" x14ac:dyDescent="0.35">
      <c r="A18" s="7">
        <v>46042</v>
      </c>
      <c r="B18" s="2"/>
      <c r="C18" s="2"/>
      <c r="E18" s="5">
        <f>IFERROR(MINUTE((Table1[[#This Row],[Stop]]-Table1[[#This Row],[Start]])),0)</f>
        <v>0</v>
      </c>
      <c r="F18" s="5">
        <f>IFERROR(HOUR(Table1[[#This Row],[Stop]]-Table1[[#This Row],[Start]]),0)</f>
        <v>0</v>
      </c>
    </row>
    <row r="19" spans="1:6" x14ac:dyDescent="0.35">
      <c r="A19" s="7">
        <v>46043</v>
      </c>
      <c r="B19" s="2"/>
      <c r="C19" s="2"/>
      <c r="E19" s="5">
        <f>IFERROR(MINUTE((Table1[[#This Row],[Stop]]-Table1[[#This Row],[Start]])),0)</f>
        <v>0</v>
      </c>
      <c r="F19" s="5">
        <f>IFERROR(HOUR(Table1[[#This Row],[Stop]]-Table1[[#This Row],[Start]]),0)</f>
        <v>0</v>
      </c>
    </row>
    <row r="20" spans="1:6" x14ac:dyDescent="0.35">
      <c r="A20" s="7">
        <v>46044</v>
      </c>
      <c r="B20" s="2"/>
      <c r="C20" s="2"/>
      <c r="E20" s="5">
        <f>IFERROR(MINUTE((Table1[[#This Row],[Stop]]-Table1[[#This Row],[Start]])),0)</f>
        <v>0</v>
      </c>
      <c r="F20" s="5">
        <f>IFERROR(HOUR(Table1[[#This Row],[Stop]]-Table1[[#This Row],[Start]]),0)</f>
        <v>0</v>
      </c>
    </row>
    <row r="21" spans="1:6" x14ac:dyDescent="0.35">
      <c r="A21" s="7">
        <v>46045</v>
      </c>
      <c r="B21" s="2"/>
      <c r="C21" s="2"/>
      <c r="E21" s="5">
        <f>IFERROR(MINUTE((Table1[[#This Row],[Stop]]-Table1[[#This Row],[Start]])),0)</f>
        <v>0</v>
      </c>
      <c r="F21" s="5">
        <f>IFERROR(HOUR(Table1[[#This Row],[Stop]]-Table1[[#This Row],[Start]]),0)</f>
        <v>0</v>
      </c>
    </row>
    <row r="22" spans="1:6" x14ac:dyDescent="0.35">
      <c r="A22" s="7">
        <v>46046</v>
      </c>
      <c r="B22" s="2"/>
      <c r="C22" s="2"/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/>
      <c r="C23" s="2"/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/>
      <c r="C24" s="2"/>
      <c r="E24" s="5">
        <f>IFERROR(MINUTE((Table1[[#This Row],[Stop]]-Table1[[#This Row],[Start]])),0)</f>
        <v>0</v>
      </c>
      <c r="F24" s="5">
        <f>IFERROR(HOUR(Table1[[#This Row],[Stop]]-Table1[[#This Row],[Start]]),0)</f>
        <v>0</v>
      </c>
    </row>
    <row r="25" spans="1:6" x14ac:dyDescent="0.35">
      <c r="A25" s="7">
        <v>46049</v>
      </c>
      <c r="B25" s="2"/>
      <c r="C25" s="2"/>
      <c r="E25" s="5">
        <f>IFERROR(MINUTE((Table1[[#This Row],[Stop]]-Table1[[#This Row],[Start]])),0)</f>
        <v>0</v>
      </c>
      <c r="F25" s="5">
        <f>IFERROR(HOUR(Table1[[#This Row],[Stop]]-Table1[[#This Row],[Start]]),0)</f>
        <v>0</v>
      </c>
    </row>
    <row r="26" spans="1:6" x14ac:dyDescent="0.35">
      <c r="A26" s="7">
        <v>46050</v>
      </c>
      <c r="B26" s="2"/>
      <c r="C26" s="2"/>
      <c r="E26" s="5">
        <f>IFERROR(MINUTE((Table1[[#This Row],[Stop]]-Table1[[#This Row],[Start]])),0)</f>
        <v>0</v>
      </c>
      <c r="F26" s="5">
        <f>IFERROR(HOUR(Table1[[#This Row],[Stop]]-Table1[[#This Row],[Start]]),0)</f>
        <v>0</v>
      </c>
    </row>
    <row r="27" spans="1:6" x14ac:dyDescent="0.35">
      <c r="A27" s="7">
        <v>46051</v>
      </c>
      <c r="B27" s="2"/>
      <c r="C27" s="2"/>
      <c r="E27" s="5">
        <f>IFERROR(MINUTE((Table1[[#This Row],[Stop]]-Table1[[#This Row],[Start]])),0)</f>
        <v>0</v>
      </c>
      <c r="F27" s="5">
        <f>IFERROR(HOUR(Table1[[#This Row],[Stop]]-Table1[[#This Row],[Start]]),0)</f>
        <v>0</v>
      </c>
    </row>
    <row r="28" spans="1:6" x14ac:dyDescent="0.35">
      <c r="A28" s="7">
        <v>46052</v>
      </c>
      <c r="B28" s="2"/>
      <c r="C28" s="2"/>
      <c r="E28" s="5">
        <f>IFERROR(MINUTE((Table1[[#This Row],[Stop]]-Table1[[#This Row],[Start]])),0)</f>
        <v>0</v>
      </c>
      <c r="F28" s="5">
        <f>IFERROR(HOUR(Table1[[#This Row],[Stop]]-Table1[[#This Row],[Start]]),0)</f>
        <v>0</v>
      </c>
    </row>
    <row r="29" spans="1:6" x14ac:dyDescent="0.35">
      <c r="A29" s="7">
        <v>46053</v>
      </c>
      <c r="B29" s="2"/>
      <c r="C29" s="2"/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/>
      <c r="C30" s="2"/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/>
      <c r="C31" s="2"/>
      <c r="E31" s="5">
        <f>IFERROR(MINUTE((Table1[[#This Row],[Stop]]-Table1[[#This Row],[Start]])),0)</f>
        <v>0</v>
      </c>
      <c r="F31" s="5">
        <f>IFERROR(HOUR(Table1[[#This Row],[Stop]]-Table1[[#This Row],[Start]]),0)</f>
        <v>0</v>
      </c>
    </row>
    <row r="32" spans="1:6" x14ac:dyDescent="0.35">
      <c r="A32" s="7">
        <v>46056</v>
      </c>
      <c r="B32" s="2"/>
      <c r="C32" s="2"/>
      <c r="E32" s="5">
        <f>IFERROR(MINUTE((Table1[[#This Row],[Stop]]-Table1[[#This Row],[Start]])),0)</f>
        <v>0</v>
      </c>
      <c r="F32" s="5">
        <f>IFERROR(HOUR(Table1[[#This Row],[Stop]]-Table1[[#This Row],[Start]]),0)</f>
        <v>0</v>
      </c>
    </row>
    <row r="33" spans="1:6" x14ac:dyDescent="0.35">
      <c r="A33" s="7">
        <v>46057</v>
      </c>
      <c r="B33" s="2"/>
      <c r="C33" s="2"/>
      <c r="E33" s="5">
        <f>IFERROR(MINUTE((Table1[[#This Row],[Stop]]-Table1[[#This Row],[Start]])),0)</f>
        <v>0</v>
      </c>
      <c r="F33" s="5">
        <f>IFERROR(HOUR(Table1[[#This Row],[Stop]]-Table1[[#This Row],[Start]]),0)</f>
        <v>0</v>
      </c>
    </row>
    <row r="34" spans="1:6" x14ac:dyDescent="0.35">
      <c r="A34" s="7">
        <v>46058</v>
      </c>
      <c r="B34" s="2"/>
      <c r="C34" s="2"/>
      <c r="E34" s="5">
        <f>IFERROR(MINUTE((Table1[[#This Row],[Stop]]-Table1[[#This Row],[Start]])),0)</f>
        <v>0</v>
      </c>
      <c r="F34" s="5">
        <f>IFERROR(HOUR(Table1[[#This Row],[Stop]]-Table1[[#This Row],[Start]]),0)</f>
        <v>0</v>
      </c>
    </row>
    <row r="35" spans="1:6" x14ac:dyDescent="0.35">
      <c r="A35" s="7">
        <v>46059</v>
      </c>
      <c r="B35" s="2"/>
      <c r="C35" s="2"/>
      <c r="E35" s="5">
        <f>IFERROR(MINUTE((Table1[[#This Row],[Stop]]-Table1[[#This Row],[Start]])),0)</f>
        <v>0</v>
      </c>
      <c r="F35" s="5">
        <f>IFERROR(HOUR(Table1[[#This Row],[Stop]]-Table1[[#This Row],[Start]]),0)</f>
        <v>0</v>
      </c>
    </row>
    <row r="36" spans="1:6" x14ac:dyDescent="0.35">
      <c r="A36" s="7">
        <v>46060</v>
      </c>
      <c r="B36" s="2"/>
      <c r="C36" s="2"/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/>
      <c r="C37" s="2"/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/>
      <c r="C38" s="2"/>
      <c r="E38" s="5">
        <f>IFERROR(MINUTE((Table1[[#This Row],[Stop]]-Table1[[#This Row],[Start]])),0)</f>
        <v>0</v>
      </c>
      <c r="F38" s="5">
        <f>IFERROR(HOUR(Table1[[#This Row],[Stop]]-Table1[[#This Row],[Start]]),0)</f>
        <v>0</v>
      </c>
    </row>
    <row r="39" spans="1:6" x14ac:dyDescent="0.35">
      <c r="A39" s="7">
        <v>46063</v>
      </c>
      <c r="B39" s="2"/>
      <c r="C39" s="2"/>
      <c r="E39" s="5">
        <f>IFERROR(MINUTE((Table1[[#This Row],[Stop]]-Table1[[#This Row],[Start]])),0)</f>
        <v>0</v>
      </c>
      <c r="F39" s="5">
        <f>IFERROR(HOUR(Table1[[#This Row],[Stop]]-Table1[[#This Row],[Start]]),0)</f>
        <v>0</v>
      </c>
    </row>
    <row r="40" spans="1:6" x14ac:dyDescent="0.35">
      <c r="A40" s="7">
        <v>46064</v>
      </c>
      <c r="B40" s="2"/>
      <c r="C40" s="2"/>
      <c r="E40" s="5">
        <f>IFERROR(MINUTE((Table1[[#This Row],[Stop]]-Table1[[#This Row],[Start]])),0)</f>
        <v>0</v>
      </c>
      <c r="F40" s="5">
        <f>IFERROR(HOUR(Table1[[#This Row],[Stop]]-Table1[[#This Row],[Start]]),0)</f>
        <v>0</v>
      </c>
    </row>
    <row r="41" spans="1:6" x14ac:dyDescent="0.35">
      <c r="A41" s="7">
        <v>46065</v>
      </c>
      <c r="B41" s="2"/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2026-01-16T22:40:42Z</dcterms:modified>
</cp:coreProperties>
</file>