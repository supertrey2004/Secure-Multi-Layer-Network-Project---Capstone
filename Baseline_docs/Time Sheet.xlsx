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B8ECD0C0-B6E5-4AE2-A280-78C99AA001B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" i="1" l="1"/>
  <c r="P8" i="1"/>
  <c r="O6" i="1"/>
  <c r="O5" i="1"/>
  <c r="O4" i="1"/>
  <c r="O3" i="1"/>
  <c r="Q3" i="1" s="1"/>
  <c r="E21" i="1"/>
  <c r="Q12" i="1"/>
  <c r="Q9" i="1"/>
  <c r="Q10" i="1"/>
  <c r="Q11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P7" i="1" s="1"/>
  <c r="O7" i="1" s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Q8" i="1" l="1"/>
  <c r="Q7" i="1"/>
  <c r="P6" i="1"/>
  <c r="Q6" i="1" s="1"/>
  <c r="P5" i="1"/>
  <c r="Q5" i="1" s="1"/>
  <c r="Q4" i="1"/>
  <c r="I3" i="1"/>
  <c r="H3" i="1" l="1"/>
  <c r="J3" i="1" s="1"/>
  <c r="K3" i="1" s="1"/>
</calcChain>
</file>

<file path=xl/sharedStrings.xml><?xml version="1.0" encoding="utf-8"?>
<sst xmlns="http://schemas.openxmlformats.org/spreadsheetml/2006/main" count="33" uniqueCount="17">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</sst>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E31" sqref="E31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4765</v>
      </c>
      <c r="I3" s="6">
        <f>SUM(F:F)</f>
        <v>72</v>
      </c>
      <c r="J3" s="5">
        <f>Table2[[#This Row],[Total Minutes]]/60</f>
        <v>79.416666666666671</v>
      </c>
      <c r="K3" s="1" t="str">
        <f>IF(Table2[[#This Row],[Hour Percent]] &gt;= Table2[[#This Row],[Hours Needed]], "Hours have been met", "More hours needed")</f>
        <v>More hours needed</v>
      </c>
      <c r="L3" s="1">
        <v>100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46055.581111574073</v>
      </c>
      <c r="I6" s="4">
        <f ca="1">NOW()</f>
        <v>46055.581111574073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143</v>
      </c>
      <c r="P7" s="6">
        <f>SUM(F31:F37)</f>
        <v>2</v>
      </c>
      <c r="Q7" s="5">
        <f t="shared" si="0"/>
        <v>2.3833333333333333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0</v>
      </c>
      <c r="P8" s="6">
        <f>SUM(F38:F44)</f>
        <v>0</v>
      </c>
      <c r="Q8" s="5">
        <f t="shared" si="0"/>
        <v>0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/>
      <c r="P9" s="6"/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2026-02-02T20:56:52Z</dcterms:modified>
</cp:coreProperties>
</file>