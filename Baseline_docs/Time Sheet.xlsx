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4675A381-77A7-41CB-BB9D-C10F5C810F3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" l="1"/>
  <c r="O7" i="1" s="1"/>
  <c r="Q7" i="1" s="1"/>
  <c r="E21" i="1"/>
  <c r="Q12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6" i="1" l="1"/>
  <c r="O6" i="1" s="1"/>
  <c r="Q6" i="1" s="1"/>
  <c r="P5" i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<sst xmlns="http://schemas.openxmlformats.org/spreadsheetml/2006/main" count="29" uniqueCount="17">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</sst>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Q6" sqref="Q6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4344</v>
      </c>
      <c r="I3" s="6">
        <f>SUM(F:F)</f>
        <v>66</v>
      </c>
      <c r="J3" s="5">
        <f>Table2[[#This Row],[Total Minutes]]/60</f>
        <v>72.400000000000006</v>
      </c>
      <c r="K3" s="1" t="str">
        <f>IF(Table2[[#This Row],[Hour Percent]] &gt;= Table2[[#This Row],[Hours Needed]], "Hours have been met", "More hours needed")</f>
        <v>More hours needed</v>
      </c>
      <c r="L3" s="1">
        <v>80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46050.658785300926</v>
      </c>
      <c r="I6" s="4">
        <f ca="1">NOW()</f>
        <v>46050.658785300926</v>
      </c>
      <c r="N6" s="1">
        <v>4</v>
      </c>
      <c r="O6" s="6">
        <f>SUM(E24:E30) + (60*P6)</f>
        <v>1143</v>
      </c>
      <c r="P6" s="6">
        <f>SUM(F24:F30)</f>
        <v>17</v>
      </c>
      <c r="Q6" s="5">
        <f t="shared" si="0"/>
        <v>19.05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SUM(E31:E37) + (60*P7)</f>
        <v>0</v>
      </c>
      <c r="P7" s="6">
        <f>SUM(F31:F37)</f>
        <v>0</v>
      </c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2026-01-28T22:48:46Z</dcterms:modified>
</cp:coreProperties>
</file>