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neumont-my.sharepoint.com/personal/wskinner_student_neumont_edu/Documents/Documents/Year 4/1/project/Capstone/"/>
    </mc:Choice>
  </mc:AlternateContent>
  <xr:revisionPtr revIDLastSave="199" documentId="11_F25DC773A252ABDACC10488959D942DE5BDE58EB" xr6:coauthVersionLast="47" xr6:coauthVersionMax="47" xr10:uidLastSave="{FF69AB99-792D-4641-801C-C2E7CC86DF78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H2" i="1"/>
  <c r="G2" i="1"/>
  <c r="K3" i="1" l="1"/>
  <c r="J3" i="1" s="1"/>
  <c r="L3" i="1" s="1"/>
</calcChain>
</file>

<file path=xl/sharedStrings.xml><?xml version="1.0" encoding="utf-8"?>
<sst xmlns="http://schemas.openxmlformats.org/spreadsheetml/2006/main" count="10" uniqueCount="10">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</sst>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E57" totalsRowShown="0" headerRowDxfId="10">
  <autoFilter ref="A2:E57" xr:uid="{AECFD94D-BC69-43FE-8A1B-A8548D9C1CB8}"/>
  <tableColumns count="5">
    <tableColumn id="1" xr3:uid="{7D80F612-B207-4202-A1B2-4CDD0B31BE04}" name="Day" dataDxfId="9"/>
    <tableColumn id="2" xr3:uid="{809082CE-E596-42B5-B407-A4E321ECCB56}" name="Start" dataDxfId="8"/>
    <tableColumn id="3" xr3:uid="{387E5ED8-33C5-4EC7-A1F3-CE1B1DDAF190}" name="Stop" dataDxfId="7"/>
    <tableColumn id="4" xr3:uid="{A72F3DB0-D92C-4679-A812-253243311EF0}" name="Minutes " dataDxfId="6">
      <calculatedColumnFormula>MINUTE((Table1[[#This Row],[Stop]]-Table1[[#This Row],[Start]]))</calculatedColumnFormula>
    </tableColumn>
    <tableColumn id="5" xr3:uid="{CE4B143E-B608-48C4-8FCC-14B01E692DCB}" name="Hours" dataDxfId="5">
      <calculatedColumnFormula>HOUR(Table1[[#This Row],[Stop]]-Table1[[#This Row],[Start]])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J2:L3" totalsRowShown="0" headerRowDxfId="4" dataDxfId="3">
  <autoFilter ref="J2:L3" xr:uid="{BCDE2B7C-F4D9-498C-BDF8-E77B124E5F78}"/>
  <tableColumns count="3">
    <tableColumn id="1" xr3:uid="{25609316-2FC7-4598-9816-D773B5ABDED5}" name="Total Minutes" dataDxfId="2">
      <calculatedColumnFormula>SUM(D:D) + (K3*60)</calculatedColumnFormula>
    </tableColumn>
    <tableColumn id="2" xr3:uid="{C48BBBC8-9BDB-469A-A714-B3361A5491E0}" name="Total Hours" dataDxfId="1">
      <calculatedColumnFormula>SUM(E:E)</calculatedColumnFormula>
    </tableColumn>
    <tableColumn id="3" xr3:uid="{B3EDE8C1-FEE6-4401-BAF1-7A6A74F4FE86}" name="Hour Percent" dataDxfId="0">
      <calculatedColumnFormula>Table2[[#This Row],[Total Minutes]]/60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7"/>
  <sheetViews>
    <sheetView tabSelected="1" workbookViewId="0">
      <selection activeCell="H15" sqref="H15"/>
    </sheetView>
  </sheetViews>
  <sheetFormatPr defaultColWidth="16" defaultRowHeight="14.5" x14ac:dyDescent="0.35"/>
  <cols>
    <col min="5" max="5" width="16" style="6"/>
  </cols>
  <sheetData>
    <row r="1" spans="1:12" x14ac:dyDescent="0.35">
      <c r="A1" s="10" t="s">
        <v>3</v>
      </c>
      <c r="B1" s="10"/>
      <c r="C1" s="10"/>
      <c r="D1" s="10"/>
      <c r="E1" s="10"/>
      <c r="J1" s="9" t="s">
        <v>5</v>
      </c>
      <c r="K1" s="9"/>
      <c r="L1" s="9"/>
    </row>
    <row r="2" spans="1:12" x14ac:dyDescent="0.35">
      <c r="A2" s="1" t="s">
        <v>0</v>
      </c>
      <c r="B2" s="1" t="s">
        <v>1</v>
      </c>
      <c r="C2" s="1" t="s">
        <v>2</v>
      </c>
      <c r="D2" s="1" t="s">
        <v>6</v>
      </c>
      <c r="E2" s="7" t="s">
        <v>7</v>
      </c>
      <c r="G2" s="4">
        <f ca="1">NOW()</f>
        <v>46028.612035185186</v>
      </c>
      <c r="H2" s="5">
        <f ca="1">NOW()</f>
        <v>46028.612035185186</v>
      </c>
      <c r="J2" s="1" t="s">
        <v>8</v>
      </c>
      <c r="K2" s="1" t="s">
        <v>4</v>
      </c>
      <c r="L2" s="1" t="s">
        <v>9</v>
      </c>
    </row>
    <row r="3" spans="1:12" x14ac:dyDescent="0.35">
      <c r="A3" s="2">
        <v>46027</v>
      </c>
      <c r="B3" s="3">
        <v>46027.625</v>
      </c>
      <c r="C3" s="3">
        <v>46027.667568055556</v>
      </c>
      <c r="D3" s="6">
        <f>MINUTE((Table1[[#This Row],[Stop]]-Table1[[#This Row],[Start]]))</f>
        <v>1</v>
      </c>
      <c r="E3" s="6">
        <f>HOUR(Table1[[#This Row],[Stop]]-Table1[[#This Row],[Start]])</f>
        <v>1</v>
      </c>
      <c r="J3" s="1" t="e">
        <f>SUM(D:D) + (K3*60)</f>
        <v>#NUM!</v>
      </c>
      <c r="K3" s="8" t="e">
        <f>SUM(E:E)</f>
        <v>#NUM!</v>
      </c>
      <c r="L3" s="7" t="e">
        <f>Table2[[#This Row],[Total Minutes]]/60</f>
        <v>#NUM!</v>
      </c>
    </row>
    <row r="4" spans="1:12" x14ac:dyDescent="0.35">
      <c r="A4" s="2">
        <v>46028</v>
      </c>
      <c r="B4" s="3">
        <v>46028.611975115738</v>
      </c>
      <c r="C4" s="3"/>
      <c r="D4" s="6" t="e">
        <f>MINUTE((Table1[[#This Row],[Stop]]-Table1[[#This Row],[Start]]))</f>
        <v>#NUM!</v>
      </c>
      <c r="E4" s="6" t="e">
        <f>HOUR(Table1[[#This Row],[Stop]]-Table1[[#This Row],[Start]])</f>
        <v>#NUM!</v>
      </c>
    </row>
    <row r="5" spans="1:12" x14ac:dyDescent="0.35">
      <c r="A5" s="2">
        <v>46029</v>
      </c>
      <c r="B5" s="3"/>
      <c r="C5" s="3"/>
      <c r="D5" s="6">
        <f>MINUTE((Table1[[#This Row],[Stop]]-Table1[[#This Row],[Start]]))</f>
        <v>0</v>
      </c>
      <c r="E5" s="6">
        <f>HOUR(Table1[[#This Row],[Stop]]-Table1[[#This Row],[Start]])</f>
        <v>0</v>
      </c>
    </row>
    <row r="6" spans="1:12" x14ac:dyDescent="0.35">
      <c r="A6" s="2">
        <v>46030</v>
      </c>
      <c r="B6" s="3"/>
      <c r="C6" s="3"/>
      <c r="D6" s="6">
        <f>MINUTE((Table1[[#This Row],[Stop]]-Table1[[#This Row],[Start]]))</f>
        <v>0</v>
      </c>
      <c r="E6" s="6">
        <f>HOUR(Table1[[#This Row],[Stop]]-Table1[[#This Row],[Start]])</f>
        <v>0</v>
      </c>
    </row>
    <row r="7" spans="1:12" x14ac:dyDescent="0.35">
      <c r="A7" s="2">
        <v>46031</v>
      </c>
      <c r="B7" s="3"/>
      <c r="C7" s="3"/>
      <c r="D7" s="6">
        <f>MINUTE((Table1[[#This Row],[Stop]]-Table1[[#This Row],[Start]]))</f>
        <v>0</v>
      </c>
      <c r="E7" s="6">
        <f>HOUR(Table1[[#This Row],[Stop]]-Table1[[#This Row],[Start]])</f>
        <v>0</v>
      </c>
    </row>
    <row r="8" spans="1:12" x14ac:dyDescent="0.35">
      <c r="A8" s="2">
        <v>46032</v>
      </c>
      <c r="B8" s="3"/>
      <c r="C8" s="3"/>
      <c r="D8" s="6">
        <f>MINUTE((Table1[[#This Row],[Stop]]-Table1[[#This Row],[Start]]))</f>
        <v>0</v>
      </c>
      <c r="E8" s="6">
        <f>HOUR(Table1[[#This Row],[Stop]]-Table1[[#This Row],[Start]])</f>
        <v>0</v>
      </c>
    </row>
    <row r="9" spans="1:12" x14ac:dyDescent="0.35">
      <c r="A9" s="2">
        <v>46033</v>
      </c>
      <c r="B9" s="3"/>
      <c r="C9" s="3"/>
      <c r="D9" s="6">
        <f>MINUTE((Table1[[#This Row],[Stop]]-Table1[[#This Row],[Start]]))</f>
        <v>0</v>
      </c>
      <c r="E9" s="6">
        <f>HOUR(Table1[[#This Row],[Stop]]-Table1[[#This Row],[Start]])</f>
        <v>0</v>
      </c>
    </row>
    <row r="10" spans="1:12" x14ac:dyDescent="0.35">
      <c r="A10" s="2">
        <v>46034</v>
      </c>
      <c r="B10" s="3"/>
      <c r="C10" s="3"/>
      <c r="D10" s="6">
        <f>MINUTE((Table1[[#This Row],[Stop]]-Table1[[#This Row],[Start]]))</f>
        <v>0</v>
      </c>
      <c r="E10" s="6">
        <f>HOUR(Table1[[#This Row],[Stop]]-Table1[[#This Row],[Start]])</f>
        <v>0</v>
      </c>
    </row>
    <row r="11" spans="1:12" x14ac:dyDescent="0.35">
      <c r="A11" s="2">
        <v>46035</v>
      </c>
      <c r="B11" s="3"/>
      <c r="C11" s="3"/>
      <c r="D11" s="6">
        <f>MINUTE((Table1[[#This Row],[Stop]]-Table1[[#This Row],[Start]]))</f>
        <v>0</v>
      </c>
      <c r="E11" s="6">
        <f>HOUR(Table1[[#This Row],[Stop]]-Table1[[#This Row],[Start]])</f>
        <v>0</v>
      </c>
    </row>
    <row r="12" spans="1:12" x14ac:dyDescent="0.35">
      <c r="A12" s="2">
        <v>46036</v>
      </c>
      <c r="B12" s="3"/>
      <c r="C12" s="3"/>
      <c r="D12" s="6">
        <f>MINUTE((Table1[[#This Row],[Stop]]-Table1[[#This Row],[Start]]))</f>
        <v>0</v>
      </c>
      <c r="E12" s="6">
        <f>HOUR(Table1[[#This Row],[Stop]]-Table1[[#This Row],[Start]])</f>
        <v>0</v>
      </c>
    </row>
    <row r="13" spans="1:12" x14ac:dyDescent="0.35">
      <c r="A13" s="2">
        <v>46037</v>
      </c>
      <c r="B13" s="3"/>
      <c r="C13" s="3"/>
      <c r="D13" s="6">
        <f>MINUTE((Table1[[#This Row],[Stop]]-Table1[[#This Row],[Start]]))</f>
        <v>0</v>
      </c>
      <c r="E13" s="6">
        <f>HOUR(Table1[[#This Row],[Stop]]-Table1[[#This Row],[Start]])</f>
        <v>0</v>
      </c>
    </row>
    <row r="14" spans="1:12" x14ac:dyDescent="0.35">
      <c r="A14" s="2">
        <v>46038</v>
      </c>
      <c r="B14" s="3"/>
      <c r="C14" s="3"/>
      <c r="D14" s="6">
        <f>MINUTE((Table1[[#This Row],[Stop]]-Table1[[#This Row],[Start]]))</f>
        <v>0</v>
      </c>
      <c r="E14" s="6">
        <f>HOUR(Table1[[#This Row],[Stop]]-Table1[[#This Row],[Start]])</f>
        <v>0</v>
      </c>
    </row>
    <row r="15" spans="1:12" x14ac:dyDescent="0.35">
      <c r="A15" s="2">
        <v>46039</v>
      </c>
      <c r="B15" s="3"/>
      <c r="C15" s="3"/>
      <c r="D15" s="6">
        <f>MINUTE((Table1[[#This Row],[Stop]]-Table1[[#This Row],[Start]]))</f>
        <v>0</v>
      </c>
      <c r="E15" s="6">
        <f>HOUR(Table1[[#This Row],[Stop]]-Table1[[#This Row],[Start]])</f>
        <v>0</v>
      </c>
    </row>
    <row r="16" spans="1:12" x14ac:dyDescent="0.35">
      <c r="A16" s="2">
        <v>46040</v>
      </c>
      <c r="B16" s="3"/>
      <c r="C16" s="3"/>
      <c r="D16" s="6">
        <f>MINUTE((Table1[[#This Row],[Stop]]-Table1[[#This Row],[Start]]))</f>
        <v>0</v>
      </c>
      <c r="E16" s="6">
        <f>HOUR(Table1[[#This Row],[Stop]]-Table1[[#This Row],[Start]])</f>
        <v>0</v>
      </c>
    </row>
    <row r="17" spans="1:5" x14ac:dyDescent="0.35">
      <c r="A17" s="2">
        <v>46041</v>
      </c>
      <c r="B17" s="3"/>
      <c r="C17" s="3"/>
      <c r="D17" s="6">
        <f>MINUTE((Table1[[#This Row],[Stop]]-Table1[[#This Row],[Start]]))</f>
        <v>0</v>
      </c>
      <c r="E17" s="6">
        <f>HOUR(Table1[[#This Row],[Stop]]-Table1[[#This Row],[Start]])</f>
        <v>0</v>
      </c>
    </row>
    <row r="18" spans="1:5" x14ac:dyDescent="0.35">
      <c r="A18" s="2">
        <v>46042</v>
      </c>
      <c r="B18" s="3"/>
      <c r="C18" s="3"/>
      <c r="D18" s="6">
        <f>MINUTE((Table1[[#This Row],[Stop]]-Table1[[#This Row],[Start]]))</f>
        <v>0</v>
      </c>
      <c r="E18" s="6">
        <f>HOUR(Table1[[#This Row],[Stop]]-Table1[[#This Row],[Start]])</f>
        <v>0</v>
      </c>
    </row>
    <row r="19" spans="1:5" x14ac:dyDescent="0.35">
      <c r="A19" s="2">
        <v>46043</v>
      </c>
      <c r="B19" s="3"/>
      <c r="C19" s="3"/>
      <c r="D19" s="6">
        <f>MINUTE((Table1[[#This Row],[Stop]]-Table1[[#This Row],[Start]]))</f>
        <v>0</v>
      </c>
      <c r="E19" s="6">
        <f>HOUR(Table1[[#This Row],[Stop]]-Table1[[#This Row],[Start]])</f>
        <v>0</v>
      </c>
    </row>
    <row r="20" spans="1:5" x14ac:dyDescent="0.35">
      <c r="A20" s="2">
        <v>46044</v>
      </c>
      <c r="B20" s="3"/>
      <c r="C20" s="3"/>
      <c r="D20" s="6">
        <f>MINUTE((Table1[[#This Row],[Stop]]-Table1[[#This Row],[Start]]))</f>
        <v>0</v>
      </c>
      <c r="E20" s="6">
        <f>HOUR(Table1[[#This Row],[Stop]]-Table1[[#This Row],[Start]])</f>
        <v>0</v>
      </c>
    </row>
    <row r="21" spans="1:5" x14ac:dyDescent="0.35">
      <c r="A21" s="2">
        <v>46045</v>
      </c>
      <c r="B21" s="3"/>
      <c r="C21" s="3"/>
      <c r="D21" s="6">
        <f>MINUTE((Table1[[#This Row],[Stop]]-Table1[[#This Row],[Start]]))</f>
        <v>0</v>
      </c>
      <c r="E21" s="6">
        <f>HOUR(Table1[[#This Row],[Stop]]-Table1[[#This Row],[Start]])</f>
        <v>0</v>
      </c>
    </row>
    <row r="22" spans="1:5" x14ac:dyDescent="0.35">
      <c r="A22" s="2">
        <v>46046</v>
      </c>
      <c r="B22" s="3"/>
      <c r="C22" s="3"/>
      <c r="D22" s="6">
        <f>MINUTE((Table1[[#This Row],[Stop]]-Table1[[#This Row],[Start]]))</f>
        <v>0</v>
      </c>
      <c r="E22" s="6">
        <f>HOUR(Table1[[#This Row],[Stop]]-Table1[[#This Row],[Start]])</f>
        <v>0</v>
      </c>
    </row>
    <row r="23" spans="1:5" x14ac:dyDescent="0.35">
      <c r="A23" s="2">
        <v>46047</v>
      </c>
      <c r="B23" s="3"/>
      <c r="C23" s="3"/>
      <c r="D23" s="6">
        <f>MINUTE((Table1[[#This Row],[Stop]]-Table1[[#This Row],[Start]]))</f>
        <v>0</v>
      </c>
      <c r="E23" s="6">
        <f>HOUR(Table1[[#This Row],[Stop]]-Table1[[#This Row],[Start]])</f>
        <v>0</v>
      </c>
    </row>
    <row r="24" spans="1:5" x14ac:dyDescent="0.35">
      <c r="A24" s="2">
        <v>46048</v>
      </c>
      <c r="B24" s="3"/>
      <c r="C24" s="3"/>
      <c r="D24" s="6">
        <f>MINUTE((Table1[[#This Row],[Stop]]-Table1[[#This Row],[Start]]))</f>
        <v>0</v>
      </c>
      <c r="E24" s="6">
        <f>HOUR(Table1[[#This Row],[Stop]]-Table1[[#This Row],[Start]])</f>
        <v>0</v>
      </c>
    </row>
    <row r="25" spans="1:5" x14ac:dyDescent="0.35">
      <c r="A25" s="2">
        <v>46049</v>
      </c>
      <c r="B25" s="3"/>
      <c r="C25" s="3"/>
      <c r="D25" s="6">
        <f>MINUTE((Table1[[#This Row],[Stop]]-Table1[[#This Row],[Start]]))</f>
        <v>0</v>
      </c>
      <c r="E25" s="6">
        <f>HOUR(Table1[[#This Row],[Stop]]-Table1[[#This Row],[Start]])</f>
        <v>0</v>
      </c>
    </row>
    <row r="26" spans="1:5" x14ac:dyDescent="0.35">
      <c r="A26" s="2">
        <v>46050</v>
      </c>
      <c r="B26" s="3"/>
      <c r="C26" s="3"/>
      <c r="D26" s="6">
        <f>MINUTE((Table1[[#This Row],[Stop]]-Table1[[#This Row],[Start]]))</f>
        <v>0</v>
      </c>
      <c r="E26" s="6">
        <f>HOUR(Table1[[#This Row],[Stop]]-Table1[[#This Row],[Start]])</f>
        <v>0</v>
      </c>
    </row>
    <row r="27" spans="1:5" x14ac:dyDescent="0.35">
      <c r="A27" s="2">
        <v>46051</v>
      </c>
      <c r="B27" s="3"/>
      <c r="C27" s="3"/>
      <c r="D27" s="6">
        <f>MINUTE((Table1[[#This Row],[Stop]]-Table1[[#This Row],[Start]]))</f>
        <v>0</v>
      </c>
      <c r="E27" s="6">
        <f>HOUR(Table1[[#This Row],[Stop]]-Table1[[#This Row],[Start]])</f>
        <v>0</v>
      </c>
    </row>
    <row r="28" spans="1:5" x14ac:dyDescent="0.35">
      <c r="A28" s="2">
        <v>46052</v>
      </c>
      <c r="B28" s="3"/>
      <c r="C28" s="3"/>
      <c r="D28" s="6">
        <f>MINUTE((Table1[[#This Row],[Stop]]-Table1[[#This Row],[Start]]))</f>
        <v>0</v>
      </c>
      <c r="E28" s="6">
        <f>HOUR(Table1[[#This Row],[Stop]]-Table1[[#This Row],[Start]])</f>
        <v>0</v>
      </c>
    </row>
    <row r="29" spans="1:5" x14ac:dyDescent="0.35">
      <c r="A29" s="2">
        <v>46053</v>
      </c>
      <c r="B29" s="3"/>
      <c r="C29" s="3"/>
      <c r="D29" s="6">
        <f>MINUTE((Table1[[#This Row],[Stop]]-Table1[[#This Row],[Start]]))</f>
        <v>0</v>
      </c>
      <c r="E29" s="6">
        <f>HOUR(Table1[[#This Row],[Stop]]-Table1[[#This Row],[Start]])</f>
        <v>0</v>
      </c>
    </row>
    <row r="30" spans="1:5" x14ac:dyDescent="0.35">
      <c r="A30" s="2">
        <v>46054</v>
      </c>
      <c r="B30" s="3"/>
      <c r="C30" s="3"/>
      <c r="D30" s="6">
        <f>MINUTE((Table1[[#This Row],[Stop]]-Table1[[#This Row],[Start]]))</f>
        <v>0</v>
      </c>
      <c r="E30" s="6">
        <f>HOUR(Table1[[#This Row],[Stop]]-Table1[[#This Row],[Start]])</f>
        <v>0</v>
      </c>
    </row>
    <row r="31" spans="1:5" x14ac:dyDescent="0.35">
      <c r="A31" s="2">
        <v>46055</v>
      </c>
      <c r="B31" s="3"/>
      <c r="C31" s="3"/>
      <c r="D31" s="6">
        <f>MINUTE((Table1[[#This Row],[Stop]]-Table1[[#This Row],[Start]]))</f>
        <v>0</v>
      </c>
      <c r="E31" s="6">
        <f>HOUR(Table1[[#This Row],[Stop]]-Table1[[#This Row],[Start]])</f>
        <v>0</v>
      </c>
    </row>
    <row r="32" spans="1:5" x14ac:dyDescent="0.35">
      <c r="A32" s="2">
        <v>46056</v>
      </c>
      <c r="B32" s="3"/>
      <c r="C32" s="3"/>
      <c r="D32" s="6">
        <f>MINUTE((Table1[[#This Row],[Stop]]-Table1[[#This Row],[Start]]))</f>
        <v>0</v>
      </c>
      <c r="E32" s="6">
        <f>HOUR(Table1[[#This Row],[Stop]]-Table1[[#This Row],[Start]])</f>
        <v>0</v>
      </c>
    </row>
    <row r="33" spans="1:5" x14ac:dyDescent="0.35">
      <c r="A33" s="2">
        <v>46057</v>
      </c>
      <c r="B33" s="3"/>
      <c r="C33" s="3"/>
      <c r="D33" s="6">
        <f>MINUTE((Table1[[#This Row],[Stop]]-Table1[[#This Row],[Start]]))</f>
        <v>0</v>
      </c>
      <c r="E33" s="6">
        <f>HOUR(Table1[[#This Row],[Stop]]-Table1[[#This Row],[Start]])</f>
        <v>0</v>
      </c>
    </row>
    <row r="34" spans="1:5" x14ac:dyDescent="0.35">
      <c r="A34" s="2">
        <v>46058</v>
      </c>
      <c r="B34" s="3"/>
      <c r="C34" s="3"/>
      <c r="D34" s="6">
        <f>MINUTE((Table1[[#This Row],[Stop]]-Table1[[#This Row],[Start]]))</f>
        <v>0</v>
      </c>
      <c r="E34" s="6">
        <f>HOUR(Table1[[#This Row],[Stop]]-Table1[[#This Row],[Start]])</f>
        <v>0</v>
      </c>
    </row>
    <row r="35" spans="1:5" x14ac:dyDescent="0.35">
      <c r="A35" s="2">
        <v>46059</v>
      </c>
      <c r="B35" s="3"/>
      <c r="C35" s="3"/>
      <c r="D35" s="6">
        <f>MINUTE((Table1[[#This Row],[Stop]]-Table1[[#This Row],[Start]]))</f>
        <v>0</v>
      </c>
      <c r="E35" s="6">
        <f>HOUR(Table1[[#This Row],[Stop]]-Table1[[#This Row],[Start]])</f>
        <v>0</v>
      </c>
    </row>
    <row r="36" spans="1:5" x14ac:dyDescent="0.35">
      <c r="A36" s="2">
        <v>46060</v>
      </c>
      <c r="B36" s="3"/>
      <c r="C36" s="3"/>
      <c r="D36" s="6">
        <f>MINUTE((Table1[[#This Row],[Stop]]-Table1[[#This Row],[Start]]))</f>
        <v>0</v>
      </c>
      <c r="E36" s="6">
        <f>HOUR(Table1[[#This Row],[Stop]]-Table1[[#This Row],[Start]])</f>
        <v>0</v>
      </c>
    </row>
    <row r="37" spans="1:5" x14ac:dyDescent="0.35">
      <c r="A37" s="2">
        <v>46061</v>
      </c>
      <c r="B37" s="3"/>
      <c r="C37" s="3"/>
      <c r="D37" s="6">
        <f>MINUTE((Table1[[#This Row],[Stop]]-Table1[[#This Row],[Start]]))</f>
        <v>0</v>
      </c>
      <c r="E37" s="6">
        <f>HOUR(Table1[[#This Row],[Stop]]-Table1[[#This Row],[Start]])</f>
        <v>0</v>
      </c>
    </row>
    <row r="38" spans="1:5" x14ac:dyDescent="0.35">
      <c r="A38" s="2">
        <v>46062</v>
      </c>
      <c r="B38" s="3"/>
      <c r="C38" s="3"/>
      <c r="D38" s="6">
        <f>MINUTE((Table1[[#This Row],[Stop]]-Table1[[#This Row],[Start]]))</f>
        <v>0</v>
      </c>
      <c r="E38" s="6">
        <f>HOUR(Table1[[#This Row],[Stop]]-Table1[[#This Row],[Start]])</f>
        <v>0</v>
      </c>
    </row>
    <row r="39" spans="1:5" x14ac:dyDescent="0.35">
      <c r="A39" s="2">
        <v>46063</v>
      </c>
      <c r="B39" s="3"/>
      <c r="C39" s="3"/>
      <c r="D39" s="6">
        <f>MINUTE((Table1[[#This Row],[Stop]]-Table1[[#This Row],[Start]]))</f>
        <v>0</v>
      </c>
      <c r="E39" s="6">
        <f>HOUR(Table1[[#This Row],[Stop]]-Table1[[#This Row],[Start]])</f>
        <v>0</v>
      </c>
    </row>
    <row r="40" spans="1:5" x14ac:dyDescent="0.35">
      <c r="A40" s="2">
        <v>46064</v>
      </c>
      <c r="B40" s="3"/>
      <c r="C40" s="3"/>
      <c r="D40" s="6">
        <f>MINUTE((Table1[[#This Row],[Stop]]-Table1[[#This Row],[Start]]))</f>
        <v>0</v>
      </c>
      <c r="E40" s="6">
        <f>HOUR(Table1[[#This Row],[Stop]]-Table1[[#This Row],[Start]])</f>
        <v>0</v>
      </c>
    </row>
    <row r="41" spans="1:5" x14ac:dyDescent="0.35">
      <c r="A41" s="2">
        <v>46065</v>
      </c>
      <c r="B41" s="3"/>
      <c r="C41" s="3"/>
      <c r="D41" s="6">
        <f>MINUTE((Table1[[#This Row],[Stop]]-Table1[[#This Row],[Start]]))</f>
        <v>0</v>
      </c>
      <c r="E41" s="6">
        <f>HOUR(Table1[[#This Row],[Stop]]-Table1[[#This Row],[Start]])</f>
        <v>0</v>
      </c>
    </row>
    <row r="42" spans="1:5" x14ac:dyDescent="0.35">
      <c r="A42" s="2">
        <v>46066</v>
      </c>
      <c r="B42" s="3"/>
      <c r="C42" s="3"/>
      <c r="D42" s="6">
        <f>MINUTE((Table1[[#This Row],[Stop]]-Table1[[#This Row],[Start]]))</f>
        <v>0</v>
      </c>
      <c r="E42" s="6">
        <f>HOUR(Table1[[#This Row],[Stop]]-Table1[[#This Row],[Start]])</f>
        <v>0</v>
      </c>
    </row>
    <row r="43" spans="1:5" x14ac:dyDescent="0.35">
      <c r="A43" s="2">
        <v>46067</v>
      </c>
      <c r="B43" s="3"/>
      <c r="C43" s="3"/>
      <c r="D43" s="6">
        <f>MINUTE((Table1[[#This Row],[Stop]]-Table1[[#This Row],[Start]]))</f>
        <v>0</v>
      </c>
      <c r="E43" s="6">
        <f>HOUR(Table1[[#This Row],[Stop]]-Table1[[#This Row],[Start]])</f>
        <v>0</v>
      </c>
    </row>
    <row r="44" spans="1:5" x14ac:dyDescent="0.35">
      <c r="A44" s="2">
        <v>46068</v>
      </c>
      <c r="B44" s="3"/>
      <c r="C44" s="3"/>
      <c r="D44" s="6">
        <f>MINUTE((Table1[[#This Row],[Stop]]-Table1[[#This Row],[Start]]))</f>
        <v>0</v>
      </c>
      <c r="E44" s="6">
        <f>HOUR(Table1[[#This Row],[Stop]]-Table1[[#This Row],[Start]])</f>
        <v>0</v>
      </c>
    </row>
    <row r="45" spans="1:5" x14ac:dyDescent="0.35">
      <c r="A45" s="2">
        <v>46069</v>
      </c>
      <c r="B45" s="3"/>
      <c r="C45" s="3"/>
      <c r="D45" s="6">
        <f>MINUTE((Table1[[#This Row],[Stop]]-Table1[[#This Row],[Start]]))</f>
        <v>0</v>
      </c>
      <c r="E45" s="6">
        <f>HOUR(Table1[[#This Row],[Stop]]-Table1[[#This Row],[Start]])</f>
        <v>0</v>
      </c>
    </row>
    <row r="46" spans="1:5" x14ac:dyDescent="0.35">
      <c r="A46" s="2">
        <v>46070</v>
      </c>
      <c r="B46" s="3"/>
      <c r="C46" s="3"/>
      <c r="D46" s="6">
        <f>MINUTE((Table1[[#This Row],[Stop]]-Table1[[#This Row],[Start]]))</f>
        <v>0</v>
      </c>
      <c r="E46" s="6">
        <f>HOUR(Table1[[#This Row],[Stop]]-Table1[[#This Row],[Start]])</f>
        <v>0</v>
      </c>
    </row>
    <row r="47" spans="1:5" x14ac:dyDescent="0.35">
      <c r="A47" s="2">
        <v>46071</v>
      </c>
      <c r="B47" s="3"/>
      <c r="C47" s="3"/>
      <c r="D47" s="6">
        <f>MINUTE((Table1[[#This Row],[Stop]]-Table1[[#This Row],[Start]]))</f>
        <v>0</v>
      </c>
      <c r="E47" s="6">
        <f>HOUR(Table1[[#This Row],[Stop]]-Table1[[#This Row],[Start]])</f>
        <v>0</v>
      </c>
    </row>
    <row r="48" spans="1:5" x14ac:dyDescent="0.35">
      <c r="A48" s="2">
        <v>46072</v>
      </c>
      <c r="B48" s="3"/>
      <c r="C48" s="3"/>
      <c r="D48" s="6">
        <f>MINUTE((Table1[[#This Row],[Stop]]-Table1[[#This Row],[Start]]))</f>
        <v>0</v>
      </c>
      <c r="E48" s="6">
        <f>HOUR(Table1[[#This Row],[Stop]]-Table1[[#This Row],[Start]])</f>
        <v>0</v>
      </c>
    </row>
    <row r="49" spans="1:5" x14ac:dyDescent="0.35">
      <c r="A49" s="2">
        <v>46073</v>
      </c>
      <c r="B49" s="3"/>
      <c r="C49" s="3"/>
      <c r="D49" s="6">
        <f>MINUTE((Table1[[#This Row],[Stop]]-Table1[[#This Row],[Start]]))</f>
        <v>0</v>
      </c>
      <c r="E49" s="6">
        <f>HOUR(Table1[[#This Row],[Stop]]-Table1[[#This Row],[Start]])</f>
        <v>0</v>
      </c>
    </row>
    <row r="50" spans="1:5" x14ac:dyDescent="0.35">
      <c r="A50" s="2">
        <v>46074</v>
      </c>
      <c r="B50" s="3"/>
      <c r="C50" s="3"/>
      <c r="D50" s="6">
        <f>MINUTE((Table1[[#This Row],[Stop]]-Table1[[#This Row],[Start]]))</f>
        <v>0</v>
      </c>
      <c r="E50" s="6">
        <f>HOUR(Table1[[#This Row],[Stop]]-Table1[[#This Row],[Start]])</f>
        <v>0</v>
      </c>
    </row>
    <row r="51" spans="1:5" x14ac:dyDescent="0.35">
      <c r="A51" s="2">
        <v>46075</v>
      </c>
      <c r="B51" s="3"/>
      <c r="C51" s="3"/>
      <c r="D51" s="6">
        <f>MINUTE((Table1[[#This Row],[Stop]]-Table1[[#This Row],[Start]]))</f>
        <v>0</v>
      </c>
      <c r="E51" s="6">
        <f>HOUR(Table1[[#This Row],[Stop]]-Table1[[#This Row],[Start]])</f>
        <v>0</v>
      </c>
    </row>
    <row r="52" spans="1:5" x14ac:dyDescent="0.35">
      <c r="A52" s="2">
        <v>46076</v>
      </c>
      <c r="B52" s="3"/>
      <c r="C52" s="3"/>
      <c r="D52" s="6">
        <f>MINUTE((Table1[[#This Row],[Stop]]-Table1[[#This Row],[Start]]))</f>
        <v>0</v>
      </c>
      <c r="E52" s="6">
        <f>HOUR(Table1[[#This Row],[Stop]]-Table1[[#This Row],[Start]])</f>
        <v>0</v>
      </c>
    </row>
    <row r="53" spans="1:5" x14ac:dyDescent="0.35">
      <c r="A53" s="2">
        <v>46077</v>
      </c>
      <c r="B53" s="3"/>
      <c r="C53" s="3"/>
      <c r="D53" s="6">
        <f>MINUTE((Table1[[#This Row],[Stop]]-Table1[[#This Row],[Start]]))</f>
        <v>0</v>
      </c>
      <c r="E53" s="6">
        <f>HOUR(Table1[[#This Row],[Stop]]-Table1[[#This Row],[Start]])</f>
        <v>0</v>
      </c>
    </row>
    <row r="54" spans="1:5" x14ac:dyDescent="0.35">
      <c r="A54" s="2">
        <v>46078</v>
      </c>
      <c r="B54" s="3"/>
      <c r="C54" s="3"/>
      <c r="D54" s="6">
        <f>MINUTE((Table1[[#This Row],[Stop]]-Table1[[#This Row],[Start]]))</f>
        <v>0</v>
      </c>
      <c r="E54" s="6">
        <f>HOUR(Table1[[#This Row],[Stop]]-Table1[[#This Row],[Start]])</f>
        <v>0</v>
      </c>
    </row>
    <row r="55" spans="1:5" x14ac:dyDescent="0.35">
      <c r="A55" s="2">
        <v>46079</v>
      </c>
      <c r="B55" s="3"/>
      <c r="C55" s="3"/>
      <c r="D55" s="6">
        <f>MINUTE((Table1[[#This Row],[Stop]]-Table1[[#This Row],[Start]]))</f>
        <v>0</v>
      </c>
      <c r="E55" s="6">
        <f>HOUR(Table1[[#This Row],[Stop]]-Table1[[#This Row],[Start]])</f>
        <v>0</v>
      </c>
    </row>
    <row r="56" spans="1:5" x14ac:dyDescent="0.35">
      <c r="A56" s="2">
        <v>46080</v>
      </c>
      <c r="B56" s="3"/>
      <c r="C56" s="3"/>
      <c r="D56" s="6">
        <f>MINUTE((Table1[[#This Row],[Stop]]-Table1[[#This Row],[Start]]))</f>
        <v>0</v>
      </c>
      <c r="E56" s="6">
        <f>HOUR(Table1[[#This Row],[Stop]]-Table1[[#This Row],[Start]])</f>
        <v>0</v>
      </c>
    </row>
    <row r="57" spans="1:5" x14ac:dyDescent="0.35">
      <c r="A57" s="2">
        <v>46081</v>
      </c>
      <c r="B57" s="3"/>
      <c r="C57" s="3"/>
      <c r="D57" s="6">
        <f>MINUTE((Table1[[#This Row],[Stop]]-Table1[[#This Row],[Start]]))</f>
        <v>0</v>
      </c>
      <c r="E57" s="6">
        <f>HOUR(Table1[[#This Row],[Stop]]-Table1[[#This Row],[Start]])</f>
        <v>0</v>
      </c>
    </row>
  </sheetData>
  <mergeCells count="2">
    <mergeCell ref="J1:L1"/>
    <mergeCell ref="A1:E1"/>
  </mergeCells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2026-01-06T21:41:22Z</dcterms:modified>
</cp:coreProperties>
</file>