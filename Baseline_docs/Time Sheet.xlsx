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933AF00F-EE7A-41CA-8147-6DB8B1DF333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P9" i="1"/>
  <c r="O6" i="1"/>
  <c r="O5" i="1"/>
  <c r="O4" i="1"/>
  <c r="O3" i="1"/>
  <c r="Q3" i="1" s="1"/>
  <c r="E21" i="1"/>
  <c r="Q12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8" i="1" l="1"/>
  <c r="O8" i="1" s="1"/>
  <c r="Q8" i="1" s="1"/>
  <c r="Q9" i="1"/>
  <c r="P7" i="1"/>
  <c r="O7" i="1" s="1"/>
  <c r="Q7" i="1" s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<sst xmlns="http://schemas.openxmlformats.org/spreadsheetml/2006/main" count="37" uniqueCount="17">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</sst>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topLeftCell="A19" workbookViewId="0">
      <selection activeCell="J43" sqref="J43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6441</v>
      </c>
      <c r="I3" s="6">
        <f>SUM(F:F)</f>
        <v>97</v>
      </c>
      <c r="J3" s="5">
        <f>Table2[[#This Row],[Total Minutes]]/60</f>
        <v>107.35</v>
      </c>
      <c r="K3" s="1" t="str">
        <f>IF(Table2[[#This Row],[Hour Percent]] &gt;= Table2[[#This Row],[Hours Needed]], "Hours have been met", "More hours needed")</f>
        <v>More hours needed</v>
      </c>
      <c r="L3" s="1">
        <v>120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46065.55529074074</v>
      </c>
      <c r="I6" s="4">
        <f ca="1">NOW()</f>
        <v>46065.55529074074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496</v>
      </c>
      <c r="P8" s="6">
        <f>SUM(F38:F44)</f>
        <v>7</v>
      </c>
      <c r="Q8" s="5">
        <f t="shared" si="0"/>
        <v>8.2666666666666675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0</v>
      </c>
      <c r="P9" s="6">
        <f>SUM(F45:F51)</f>
        <v>0</v>
      </c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2026-02-12T20:19:39Z</dcterms:modified>
</cp:coreProperties>
</file>