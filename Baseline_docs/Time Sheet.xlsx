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D3227279-8B07-470D-AC25-4585521B773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1" l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I3" i="1" s="1"/>
  <c r="H3" i="1" s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J3" i="1" l="1"/>
  <c r="K3" i="1" s="1"/>
</calcChain>
</file>

<file path=xl/sharedStrings.xml><?xml version="1.0" encoding="utf-8"?>
<sst xmlns="http://schemas.openxmlformats.org/spreadsheetml/2006/main" count="13" uniqueCount="13">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</sst>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14" dataDxfId="13">
  <autoFilter ref="A2:F75" xr:uid="{AECFD94D-BC69-43FE-8A1B-A8548D9C1CB8}"/>
  <tableColumns count="6">
    <tableColumn id="1" xr3:uid="{7D80F612-B207-4202-A1B2-4CDD0B31BE04}" name="Day" dataDxfId="12"/>
    <tableColumn id="2" xr3:uid="{809082CE-E596-42B5-B407-A4E321ECCB56}" name="Start" dataDxfId="11"/>
    <tableColumn id="3" xr3:uid="{387E5ED8-33C5-4EC7-A1F3-CE1B1DDAF190}" name="Stop" dataDxfId="10"/>
    <tableColumn id="6" xr3:uid="{F560E705-D838-45AE-BE0C-270C69667AC2}" name="Extra Mins" dataDxfId="9"/>
    <tableColumn id="4" xr3:uid="{A72F3DB0-D92C-4679-A812-253243311EF0}" name="Minutes " dataDxfId="8">
      <calculatedColumnFormula>IFERROR(MINUTE((Table1[[#This Row],[Stop]]-Table1[[#This Row],[Start]])),0)</calculatedColumnFormula>
    </tableColumn>
    <tableColumn id="5" xr3:uid="{CE4B143E-B608-48C4-8FCC-14B01E692DCB}" name="Hours" dataDxfId="7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6" dataDxfId="5">
  <autoFilter ref="H2:L3" xr:uid="{BCDE2B7C-F4D9-498C-BDF8-E77B124E5F78}"/>
  <tableColumns count="5">
    <tableColumn id="1" xr3:uid="{25609316-2FC7-4598-9816-D773B5ABDED5}" name="Total Minutes" dataDxfId="4">
      <calculatedColumnFormula>SUM(E:E) + (I3*60) + SUM(D:D)</calculatedColumnFormula>
    </tableColumn>
    <tableColumn id="2" xr3:uid="{C48BBBC8-9BDB-469A-A714-B3361A5491E0}" name="Total Hours" dataDxfId="3">
      <calculatedColumnFormula>SUM(F:F)</calculatedColumnFormula>
    </tableColumn>
    <tableColumn id="3" xr3:uid="{B3EDE8C1-FEE6-4401-BAF1-7A6A74F4FE86}" name="Hour Percent" dataDxfId="2">
      <calculatedColumnFormula>Table2[[#This Row],[Total Minutes]]/60</calculatedColumnFormula>
    </tableColumn>
    <tableColumn id="4" xr3:uid="{8FB2D23B-72D8-4504-BE1A-A47C565D5166}" name="Hours Met" dataDxfId="1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workbookViewId="0">
      <selection activeCell="I12" sqref="I12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6384" width="13.81640625" style="1"/>
  </cols>
  <sheetData>
    <row r="1" spans="1:12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2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</row>
    <row r="3" spans="1:12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387</v>
      </c>
      <c r="I3" s="6">
        <f>SUM(F:F)</f>
        <v>6</v>
      </c>
      <c r="J3" s="5">
        <f>Table2[[#This Row],[Total Minutes]]/60</f>
        <v>6.45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</row>
    <row r="4" spans="1:12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</row>
    <row r="5" spans="1:12" x14ac:dyDescent="0.35">
      <c r="A5" s="7">
        <v>46029</v>
      </c>
      <c r="B5" s="2">
        <v>46029.55702847222</v>
      </c>
      <c r="C5" s="2">
        <v>46029.69652002315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</row>
    <row r="6" spans="1:12" x14ac:dyDescent="0.35">
      <c r="A6" s="7">
        <v>46030</v>
      </c>
      <c r="B6" s="2"/>
      <c r="C6" s="2"/>
      <c r="E6" s="5">
        <f>IFERROR(MINUTE((Table1[[#This Row],[Stop]]-Table1[[#This Row],[Start]])),0)</f>
        <v>0</v>
      </c>
      <c r="F6" s="5">
        <f>IFERROR(HOUR(Table1[[#This Row],[Stop]]-Table1[[#This Row],[Start]]),0)</f>
        <v>0</v>
      </c>
      <c r="H6" s="3">
        <f ca="1">NOW()</f>
        <v>46029.696520486112</v>
      </c>
      <c r="I6" s="4">
        <f ca="1">NOW()</f>
        <v>46029.696520486112</v>
      </c>
    </row>
    <row r="7" spans="1:12" x14ac:dyDescent="0.35">
      <c r="A7" s="7">
        <v>46031</v>
      </c>
      <c r="B7" s="2"/>
      <c r="C7" s="2"/>
      <c r="E7" s="5">
        <f>IFERROR(MINUTE((Table1[[#This Row],[Stop]]-Table1[[#This Row],[Start]])),0)</f>
        <v>0</v>
      </c>
      <c r="F7" s="5">
        <f>IFERROR(HOUR(Table1[[#This Row],[Stop]]-Table1[[#This Row],[Start]]),0)</f>
        <v>0</v>
      </c>
    </row>
    <row r="8" spans="1:12" x14ac:dyDescent="0.35">
      <c r="A8" s="7">
        <v>46032</v>
      </c>
      <c r="B8" s="2"/>
      <c r="C8" s="2"/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</row>
    <row r="9" spans="1:12" x14ac:dyDescent="0.35">
      <c r="A9" s="7">
        <v>46033</v>
      </c>
      <c r="B9" s="2"/>
      <c r="C9" s="2"/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</row>
    <row r="10" spans="1:12" x14ac:dyDescent="0.35">
      <c r="A10" s="7">
        <v>46034</v>
      </c>
      <c r="B10" s="2"/>
      <c r="C10" s="2"/>
      <c r="E10" s="5">
        <f>IFERROR(MINUTE((Table1[[#This Row],[Stop]]-Table1[[#This Row],[Start]])),0)</f>
        <v>0</v>
      </c>
      <c r="F10" s="5">
        <f>IFERROR(HOUR(Table1[[#This Row],[Stop]]-Table1[[#This Row],[Start]]),0)</f>
        <v>0</v>
      </c>
    </row>
    <row r="11" spans="1:12" x14ac:dyDescent="0.35">
      <c r="A11" s="7">
        <v>46035</v>
      </c>
      <c r="B11" s="2"/>
      <c r="C11" s="2"/>
      <c r="E11" s="5">
        <f>IFERROR(MINUTE((Table1[[#This Row],[Stop]]-Table1[[#This Row],[Start]])),0)</f>
        <v>0</v>
      </c>
      <c r="F11" s="5">
        <f>IFERROR(HOUR(Table1[[#This Row],[Stop]]-Table1[[#This Row],[Start]]),0)</f>
        <v>0</v>
      </c>
    </row>
    <row r="12" spans="1:12" x14ac:dyDescent="0.35">
      <c r="A12" s="7">
        <v>46036</v>
      </c>
      <c r="B12" s="2"/>
      <c r="C12" s="2"/>
      <c r="E12" s="5">
        <f>IFERROR(MINUTE((Table1[[#This Row],[Stop]]-Table1[[#This Row],[Start]])),0)</f>
        <v>0</v>
      </c>
      <c r="F12" s="5">
        <f>IFERROR(HOUR(Table1[[#This Row],[Stop]]-Table1[[#This Row],[Start]]),0)</f>
        <v>0</v>
      </c>
    </row>
    <row r="13" spans="1:12" x14ac:dyDescent="0.35">
      <c r="A13" s="7">
        <v>46037</v>
      </c>
      <c r="B13" s="2"/>
      <c r="C13" s="2"/>
      <c r="E13" s="5">
        <f>IFERROR(MINUTE((Table1[[#This Row],[Stop]]-Table1[[#This Row],[Start]])),0)</f>
        <v>0</v>
      </c>
      <c r="F13" s="5">
        <f>IFERROR(HOUR(Table1[[#This Row],[Stop]]-Table1[[#This Row],[Start]]),0)</f>
        <v>0</v>
      </c>
    </row>
    <row r="14" spans="1:12" x14ac:dyDescent="0.35">
      <c r="A14" s="7">
        <v>46038</v>
      </c>
      <c r="B14" s="2"/>
      <c r="C14" s="2"/>
      <c r="E14" s="5">
        <f>IFERROR(MINUTE((Table1[[#This Row],[Stop]]-Table1[[#This Row],[Start]])),0)</f>
        <v>0</v>
      </c>
      <c r="F14" s="5">
        <f>IFERROR(HOUR(Table1[[#This Row],[Stop]]-Table1[[#This Row],[Start]]),0)</f>
        <v>0</v>
      </c>
    </row>
    <row r="15" spans="1:12" x14ac:dyDescent="0.35">
      <c r="A15" s="7">
        <v>46039</v>
      </c>
      <c r="B15" s="2"/>
      <c r="C15" s="2"/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2" x14ac:dyDescent="0.35">
      <c r="A16" s="7">
        <v>46040</v>
      </c>
      <c r="B16" s="2"/>
      <c r="C16" s="2"/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/>
      <c r="C17" s="2"/>
      <c r="E17" s="5">
        <f>IFERROR(MINUTE((Table1[[#This Row],[Stop]]-Table1[[#This Row],[Start]])),0)</f>
        <v>0</v>
      </c>
      <c r="F17" s="5">
        <f>IFERROR(HOUR(Table1[[#This Row],[Stop]]-Table1[[#This Row],[Start]]),0)</f>
        <v>0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2026-01-07T23:43:15Z</dcterms:modified>
</cp:coreProperties>
</file>