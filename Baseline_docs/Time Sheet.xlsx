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CCA50D43-59B1-49A3-B228-FB42A7C742F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" l="1"/>
  <c r="P8" i="1"/>
  <c r="O6" i="1"/>
  <c r="O5" i="1"/>
  <c r="O4" i="1"/>
  <c r="O3" i="1"/>
  <c r="Q3" i="1" s="1"/>
  <c r="E21" i="1"/>
  <c r="Q12" i="1"/>
  <c r="Q9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7" i="1" l="1"/>
  <c r="O7" i="1" s="1"/>
  <c r="Q7" i="1" s="1"/>
  <c r="Q8" i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<sst xmlns="http://schemas.openxmlformats.org/spreadsheetml/2006/main" count="33" uniqueCount="17">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</sst>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H32" sqref="H32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5229</v>
      </c>
      <c r="I3" s="6">
        <f>SUM(F:F)</f>
        <v>79</v>
      </c>
      <c r="J3" s="5">
        <f>Table2[[#This Row],[Total Minutes]]/60</f>
        <v>87.15</v>
      </c>
      <c r="K3" s="1" t="str">
        <f>IF(Table2[[#This Row],[Hour Percent]] &gt;= Table2[[#This Row],[Hours Needed]], "Hours have been met", "More hours needed")</f>
        <v>More hours needed</v>
      </c>
      <c r="L3" s="1">
        <v>100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46057.688575810185</v>
      </c>
      <c r="I6" s="4">
        <f ca="1">NOW()</f>
        <v>46057.688575810185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607</v>
      </c>
      <c r="P7" s="6">
        <f>SUM(F31:F37)</f>
        <v>9</v>
      </c>
      <c r="Q7" s="5">
        <f t="shared" si="0"/>
        <v>10.116666666666667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0</v>
      </c>
      <c r="P8" s="6">
        <f>SUM(F38:F44)</f>
        <v>0</v>
      </c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2026-02-04T23:31:43Z</dcterms:modified>
</cp:coreProperties>
</file>