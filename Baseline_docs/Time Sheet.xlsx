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wskinner\On Drive Files\Git\Secure-Multi-Layer-Network-Project---Capstone\Baseline_docs\"/>
    </mc:Choice>
  </mc:AlternateContent>
  <xr:revisionPtr revIDLastSave="0" documentId="13_ncr:1_{FBB91A43-2EA2-48ED-9DBE-CDE8B1DC6254}" xr6:coauthVersionLast="47" xr6:coauthVersionMax="47" xr10:uidLastSave="{00000000-0000-0000-0000-000000000000}"/>
  <bookViews>
    <workbookView xWindow="1140" yWindow="1140" windowWidth="19200" windowHeight="111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3" i="1" l="1"/>
  <c r="E56" i="1"/>
  <c r="E54" i="1"/>
  <c r="E70" i="1"/>
  <c r="F70" i="1"/>
  <c r="E71" i="1"/>
  <c r="F71" i="1"/>
  <c r="E72" i="1"/>
  <c r="F72" i="1"/>
  <c r="F49" i="1"/>
  <c r="E48" i="1"/>
  <c r="E21" i="1"/>
  <c r="P3" i="1"/>
  <c r="O3" i="1" s="1"/>
  <c r="Q3" i="1" s="1"/>
  <c r="E69" i="1"/>
  <c r="E58" i="1"/>
  <c r="F58" i="1"/>
  <c r="E59" i="1"/>
  <c r="F59" i="1"/>
  <c r="E60" i="1"/>
  <c r="F60" i="1"/>
  <c r="E61" i="1"/>
  <c r="F61" i="1"/>
  <c r="E62" i="1"/>
  <c r="F62" i="1"/>
  <c r="E64" i="1"/>
  <c r="F64" i="1"/>
  <c r="E65" i="1"/>
  <c r="F65" i="1"/>
  <c r="E66" i="1"/>
  <c r="F66" i="1"/>
  <c r="P12" i="1" s="1"/>
  <c r="E67" i="1"/>
  <c r="F67" i="1"/>
  <c r="E68" i="1"/>
  <c r="F68" i="1"/>
  <c r="F69" i="1"/>
  <c r="F4" i="1"/>
  <c r="F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50" i="1"/>
  <c r="F51" i="1"/>
  <c r="F52" i="1"/>
  <c r="F53" i="1"/>
  <c r="F55" i="1"/>
  <c r="F5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9" i="1"/>
  <c r="E50" i="1"/>
  <c r="E51" i="1"/>
  <c r="E52" i="1"/>
  <c r="E53" i="1"/>
  <c r="E55" i="1"/>
  <c r="E57" i="1"/>
  <c r="I6" i="1"/>
  <c r="H6" i="1"/>
  <c r="F63" i="1" l="1"/>
  <c r="O12" i="1"/>
  <c r="Q12" i="1" s="1"/>
  <c r="P11" i="1"/>
  <c r="O11" i="1" s="1"/>
  <c r="Q11" i="1" s="1"/>
  <c r="P4" i="1"/>
  <c r="O4" i="1" s="1"/>
  <c r="F56" i="1"/>
  <c r="F54" i="1"/>
  <c r="P10" i="1" s="1"/>
  <c r="O10" i="1" s="1"/>
  <c r="Q10" i="1" s="1"/>
  <c r="F48" i="1"/>
  <c r="P9" i="1" s="1"/>
  <c r="O9" i="1" s="1"/>
  <c r="P8" i="1"/>
  <c r="O8" i="1" s="1"/>
  <c r="Q8" i="1" s="1"/>
  <c r="P7" i="1"/>
  <c r="O7" i="1" s="1"/>
  <c r="Q7" i="1" s="1"/>
  <c r="P6" i="1"/>
  <c r="P5" i="1"/>
  <c r="Q4" i="1"/>
  <c r="O5" i="1" l="1"/>
  <c r="Q5" i="1" s="1"/>
  <c r="O6" i="1"/>
  <c r="Q6" i="1" s="1"/>
  <c r="I3" i="1"/>
  <c r="H3" i="1" s="1"/>
  <c r="J3" i="1" s="1"/>
  <c r="Q9" i="1"/>
  <c r="K3" i="1" l="1"/>
  <c r="K4" i="1" a="1"/>
  <c r="K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<sst xmlns="http://schemas.openxmlformats.org/spreadsheetml/2006/main" count="51" uniqueCount="17">
  <si>
    <t>Day</t>
  </si>
  <si>
    <t>Start</t>
  </si>
  <si>
    <t>Stop</t>
  </si>
  <si>
    <t>Time sheet</t>
  </si>
  <si>
    <t>Total Hours</t>
  </si>
  <si>
    <t>Sum</t>
  </si>
  <si>
    <t xml:space="preserve">Minutes </t>
  </si>
  <si>
    <t>Hours</t>
  </si>
  <si>
    <t>Total Minutes</t>
  </si>
  <si>
    <t>Hour Percent</t>
  </si>
  <si>
    <t>Hours Needed</t>
  </si>
  <si>
    <t>Hours Met</t>
  </si>
  <si>
    <t>Extra Mins</t>
  </si>
  <si>
    <t>none</t>
  </si>
  <si>
    <t>Weeks</t>
  </si>
  <si>
    <t>Minutes</t>
  </si>
  <si>
    <t>Hour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</si>
</sst>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6">
    <dxf>
      <numFmt numFmtId="2" formatCode="0.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[$-F400]h:mm:ss\ AM/PM"/>
      <alignment horizontal="center" vertical="center" textRotation="0" wrapText="0" indent="0" justifyLastLine="0" shrinkToFit="0" readingOrder="0"/>
    </dxf>
    <dxf>
      <numFmt numFmtId="164" formatCode="[$-F400]h:mm:ss\ AM/PM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CFD94D-BC69-43FE-8A1B-A8548D9C1CB8}" name="Table1" displayName="Table1" ref="A2:F72" totalsRowShown="0" headerRowDxfId="25" dataDxfId="24">
  <autoFilter ref="A2:F72" xr:uid="{AECFD94D-BC69-43FE-8A1B-A8548D9C1CB8}"/>
  <tableColumns count="6">
    <tableColumn id="1" xr3:uid="{7D80F612-B207-4202-A1B2-4CDD0B31BE04}" name="Day" dataDxfId="23"/>
    <tableColumn id="2" xr3:uid="{809082CE-E596-42B5-B407-A4E321ECCB56}" name="Start" dataDxfId="22"/>
    <tableColumn id="3" xr3:uid="{387E5ED8-33C5-4EC7-A1F3-CE1B1DDAF190}" name="Stop" dataDxfId="21"/>
    <tableColumn id="6" xr3:uid="{F560E705-D838-45AE-BE0C-270C69667AC2}" name="Extra Mins" dataDxfId="20"/>
    <tableColumn id="4" xr3:uid="{A72F3DB0-D92C-4679-A812-253243311EF0}" name="Minutes " dataDxfId="19">
      <calculatedColumnFormula>IFERROR(MINUTE((Table1[[#This Row],[Stop]]-Table1[[#This Row],[Start]])),0)</calculatedColumnFormula>
    </tableColumn>
    <tableColumn id="5" xr3:uid="{CE4B143E-B608-48C4-8FCC-14B01E692DCB}" name="Hours" dataDxfId="18">
      <calculatedColumnFormula>IFERROR(HOUR(Table1[[#This Row],[Stop]]-Table1[[#This Row],[Start]]),0)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DE2B7C-F4D9-498C-BDF8-E77B124E5F78}" name="Table2" displayName="Table2" ref="H2:L4" totalsRowCount="1" headerRowDxfId="17" dataDxfId="16">
  <autoFilter ref="H2:L3" xr:uid="{BCDE2B7C-F4D9-498C-BDF8-E77B124E5F78}"/>
  <tableColumns count="5">
    <tableColumn id="1" xr3:uid="{25609316-2FC7-4598-9816-D773B5ABDED5}" name="Total Minutes" dataDxfId="15" totalsRowDxfId="14">
      <calculatedColumnFormula>SUM(E:E) + (I3*60) + SUM(D:D)</calculatedColumnFormula>
    </tableColumn>
    <tableColumn id="2" xr3:uid="{C48BBBC8-9BDB-469A-A714-B3361A5491E0}" name="Total Hours" dataDxfId="13" totalsRowDxfId="12">
      <calculatedColumnFormula>SUM(F:F)</calculatedColumnFormula>
    </tableColumn>
    <tableColumn id="3" xr3:uid="{B3EDE8C1-FEE6-4401-BAF1-7A6A74F4FE86}" name="Hour Percent" dataDxfId="11" totalsRowDxfId="10">
      <calculatedColumnFormula>Table2[[#This Row],[Total Minutes]]/60</calculatedColumnFormula>
    </tableColumn>
    <tableColumn id="4" xr3:uid="{8FB2D23B-72D8-4504-BE1A-A47C565D5166}" name="Hours Met" totalsRowFunction="custom" dataDxfId="9" totalsRowDxfId="8">
      <calculatedColumnFormula>IF(Table2[[#This Row],[Hour Percent]] &gt;= Table2[[#This Row],[Hours Needed]], "Hours have been met", "More hours needed")</calculatedColumnFormula>
      <totalsRowFormula array="1">Table2[Hours Needed]-Table2[Hour Percent]</totalsRowFormula>
    </tableColumn>
    <tableColumn id="5" xr3:uid="{643AEBD5-F2A2-4877-923F-2A6F10830FA5}" name="Hours Needed" dataDxfId="7" totalsRow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533ACD-D878-47CD-A04A-12CDF739F4F4}" name="Table3" displayName="Table3" ref="N2:Q12" totalsRowShown="0" headerRowDxfId="5" dataDxfId="4">
  <autoFilter ref="N2:Q12" xr:uid="{0B533ACD-D878-47CD-A04A-12CDF739F4F4}"/>
  <tableColumns count="4">
    <tableColumn id="1" xr3:uid="{CFA6B21D-D050-4C14-8F9A-5D7117BEA113}" name="Weeks" dataDxfId="3"/>
    <tableColumn id="2" xr3:uid="{1CA91632-7336-422D-ABF9-C5E3F08EFBA5}" name="Minutes" dataDxfId="2"/>
    <tableColumn id="3" xr3:uid="{BB9EBBBA-CBEE-4ACF-8769-1D581F89C8FE}" name="Hours" dataDxfId="1"/>
    <tableColumn id="4" xr3:uid="{8911D862-F455-4BFD-BDFF-6839D678C8CE}" name="Hour %" dataDxfId="0">
      <calculatedColumnFormula>O3/60</calculatedColumnFormula>
    </tableColumn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topLeftCell="A43" workbookViewId="0">
      <selection activeCell="C63" sqref="C63"/>
    </sheetView>
  </sheetViews>
  <sheetFormatPr defaultColWidth="13.81640625" defaultRowHeight="14.5" x14ac:dyDescent="0.35"/>
  <cols>
    <col min="1" max="3" width="13.81640625" style="1"/>
    <col min="4" max="5" width="13.81640625" style="5"/>
    <col min="6" max="6" width="13.81640625" style="1"/>
    <col min="7" max="7" width="2.7265625" style="1" customWidth="1"/>
    <col min="8" max="10" width="16.54296875" style="1" customWidth="1"/>
    <col min="11" max="11" width="17.36328125" style="1" customWidth="1"/>
    <col min="12" max="12" width="16.54296875" style="1" customWidth="1"/>
    <col min="13" max="13" width="2.81640625" style="1" customWidth="1"/>
    <col min="14" max="16384" width="13.81640625" style="1"/>
  </cols>
  <sheetData>
    <row r="1" spans="1:17" x14ac:dyDescent="0.35">
      <c r="A1" s="8" t="s">
        <v>3</v>
      </c>
      <c r="B1" s="8"/>
      <c r="C1" s="8"/>
      <c r="D1" s="8"/>
      <c r="E1" s="8"/>
      <c r="F1" s="8"/>
      <c r="G1" s="8" t="s">
        <v>5</v>
      </c>
      <c r="H1" s="8"/>
      <c r="I1" s="8"/>
      <c r="J1" s="8"/>
      <c r="K1" s="8"/>
    </row>
    <row r="2" spans="1:17" x14ac:dyDescent="0.35">
      <c r="A2" s="1" t="s">
        <v>0</v>
      </c>
      <c r="B2" s="1" t="s">
        <v>1</v>
      </c>
      <c r="C2" s="1" t="s">
        <v>2</v>
      </c>
      <c r="D2" s="5" t="s">
        <v>12</v>
      </c>
      <c r="E2" s="1" t="s">
        <v>6</v>
      </c>
      <c r="F2" s="5" t="s">
        <v>7</v>
      </c>
      <c r="H2" s="1" t="s">
        <v>8</v>
      </c>
      <c r="I2" s="1" t="s">
        <v>4</v>
      </c>
      <c r="J2" s="1" t="s">
        <v>9</v>
      </c>
      <c r="K2" s="1" t="s">
        <v>11</v>
      </c>
      <c r="L2" s="1" t="s">
        <v>10</v>
      </c>
      <c r="N2" s="1" t="s">
        <v>14</v>
      </c>
      <c r="O2" s="1" t="s">
        <v>15</v>
      </c>
      <c r="P2" s="1" t="s">
        <v>7</v>
      </c>
      <c r="Q2" s="1" t="s">
        <v>16</v>
      </c>
    </row>
    <row r="3" spans="1:17" x14ac:dyDescent="0.35">
      <c r="A3" s="7">
        <v>46027</v>
      </c>
      <c r="B3" s="2">
        <v>46027.625</v>
      </c>
      <c r="C3" s="2">
        <v>46027.667568055556</v>
      </c>
      <c r="E3" s="5">
        <f>IFERROR(MINUTE((Table1[[#This Row],[Stop]]-Table1[[#This Row],[Start]])),0)</f>
        <v>1</v>
      </c>
      <c r="F3" s="5">
        <f>IFERROR(HOUR(Table1[[#This Row],[Stop]]-Table1[[#This Row],[Start]]),0)</f>
        <v>1</v>
      </c>
      <c r="H3" s="1">
        <f>SUM(E:E) + (I3*60) + SUM(D:D)</f>
        <v>11750</v>
      </c>
      <c r="I3" s="6">
        <f>SUM(F:F)</f>
        <v>175</v>
      </c>
      <c r="J3" s="5">
        <f>Table2[[#This Row],[Total Minutes]]/60</f>
        <v>195.83333333333334</v>
      </c>
      <c r="K3" s="1" t="str">
        <f>IF(Table2[[#This Row],[Hour Percent]] &gt;= Table2[[#This Row],[Hours Needed]], "Hours have been met", "More hours needed")</f>
        <v>More hours needed</v>
      </c>
      <c r="L3" s="1">
        <v>200</v>
      </c>
      <c r="N3" s="1">
        <v>1</v>
      </c>
      <c r="O3" s="6">
        <f>SUM(D3:E9) + (60*P3)</f>
        <v>606</v>
      </c>
      <c r="P3" s="6">
        <f>SUM(F3:F9)</f>
        <v>9</v>
      </c>
      <c r="Q3" s="5">
        <f>O3/60</f>
        <v>10.1</v>
      </c>
    </row>
    <row r="4" spans="1:17" x14ac:dyDescent="0.35">
      <c r="A4" s="7">
        <v>46028</v>
      </c>
      <c r="B4" s="2">
        <v>46028.611975115738</v>
      </c>
      <c r="C4" s="2">
        <v>46028.69975428241</v>
      </c>
      <c r="E4" s="5">
        <f>IFERROR(MINUTE((Table1[[#This Row],[Stop]]-Table1[[#This Row],[Start]])),0)</f>
        <v>6</v>
      </c>
      <c r="F4" s="5">
        <f>IFERROR(HOUR(Table1[[#This Row],[Stop]]-Table1[[#This Row],[Start]]),0)</f>
        <v>2</v>
      </c>
      <c r="I4" s="6"/>
      <c r="J4" s="5"/>
      <c r="K4" s="5" cm="1">
        <f t="array" ref="K4">Table2[Hours Needed]-Table2[Hour Percent]</f>
        <v>4.1666666666666572</v>
      </c>
      <c r="N4" s="1">
        <v>2</v>
      </c>
      <c r="O4" s="6">
        <f>SUM(D10:E16) + (60*P4)</f>
        <v>1213</v>
      </c>
      <c r="P4" s="6">
        <f>SUM(F10:F16)</f>
        <v>18</v>
      </c>
      <c r="Q4" s="5">
        <f>O4/60</f>
        <v>20.216666666666665</v>
      </c>
    </row>
    <row r="5" spans="1:17" x14ac:dyDescent="0.35">
      <c r="A5" s="7">
        <v>46029</v>
      </c>
      <c r="B5" s="2">
        <v>46029.55702847222</v>
      </c>
      <c r="C5" s="2">
        <v>46029.69652002315</v>
      </c>
      <c r="D5" s="5">
        <v>5</v>
      </c>
      <c r="E5" s="5">
        <f>IFERROR(MINUTE((Table1[[#This Row],[Stop]]-Table1[[#This Row],[Start]])),0)</f>
        <v>20</v>
      </c>
      <c r="F5" s="5">
        <f>IFERROR(HOUR(Table1[[#This Row],[Stop]]-Table1[[#This Row],[Start]]),0)</f>
        <v>3</v>
      </c>
      <c r="N5" s="1">
        <v>3</v>
      </c>
      <c r="O5" s="6">
        <f>SUM(D17:E23) + (60*P5)</f>
        <v>1382</v>
      </c>
      <c r="P5" s="6">
        <f>SUM(F17:F23)</f>
        <v>22</v>
      </c>
      <c r="Q5" s="5">
        <f t="shared" ref="Q5:Q11" si="0">O5/60</f>
        <v>23.033333333333335</v>
      </c>
    </row>
    <row r="6" spans="1:17" x14ac:dyDescent="0.35">
      <c r="A6" s="7">
        <v>46030</v>
      </c>
      <c r="B6" s="2">
        <v>46030.619527314811</v>
      </c>
      <c r="C6" s="2">
        <v>46030.678883217595</v>
      </c>
      <c r="E6" s="5">
        <f>IFERROR(MINUTE((Table1[[#This Row],[Stop]]-Table1[[#This Row],[Start]])),0)</f>
        <v>25</v>
      </c>
      <c r="F6" s="5">
        <f>IFERROR(HOUR(Table1[[#This Row],[Stop]]-Table1[[#This Row],[Start]]),0)</f>
        <v>1</v>
      </c>
      <c r="H6" s="3">
        <f ca="1">NOW()</f>
        <v>46087.53997662037</v>
      </c>
      <c r="I6" s="4">
        <f ca="1">NOW()</f>
        <v>46087.53997662037</v>
      </c>
      <c r="N6" s="1">
        <v>4</v>
      </c>
      <c r="O6" s="6">
        <f>SUM(D24:E30) + (60*P6)</f>
        <v>1421</v>
      </c>
      <c r="P6" s="6">
        <f>SUM(F24:F30)</f>
        <v>21</v>
      </c>
      <c r="Q6" s="5">
        <f t="shared" si="0"/>
        <v>23.683333333333334</v>
      </c>
    </row>
    <row r="7" spans="1:17" x14ac:dyDescent="0.35">
      <c r="A7" s="7">
        <v>46031</v>
      </c>
      <c r="B7" s="2">
        <v>46031.535747222224</v>
      </c>
      <c r="C7" s="2">
        <v>46031.625451388885</v>
      </c>
      <c r="E7" s="5">
        <f>IFERROR(MINUTE((Table1[[#This Row],[Stop]]-Table1[[#This Row],[Start]])),0)</f>
        <v>9</v>
      </c>
      <c r="F7" s="5">
        <f>IFERROR(HOUR(Table1[[#This Row],[Stop]]-Table1[[#This Row],[Start]]),0)</f>
        <v>2</v>
      </c>
      <c r="N7" s="1">
        <v>5</v>
      </c>
      <c r="O7" s="6">
        <f>SUM(D31:E37) + (60*P7)</f>
        <v>1323</v>
      </c>
      <c r="P7" s="6">
        <f>SUM(F31:F37)</f>
        <v>20</v>
      </c>
      <c r="Q7" s="5">
        <f t="shared" si="0"/>
        <v>22.05</v>
      </c>
    </row>
    <row r="8" spans="1:17" x14ac:dyDescent="0.35">
      <c r="A8" s="7">
        <v>46032</v>
      </c>
      <c r="B8" s="2" t="s">
        <v>13</v>
      </c>
      <c r="C8" s="2" t="s">
        <v>13</v>
      </c>
      <c r="E8" s="5">
        <f>IFERROR(MINUTE((Table1[[#This Row],[Stop]]-Table1[[#This Row],[Start]])),0)</f>
        <v>0</v>
      </c>
      <c r="F8" s="5">
        <f>IFERROR(HOUR(Table1[[#This Row],[Stop]]-Table1[[#This Row],[Start]]),0)</f>
        <v>0</v>
      </c>
      <c r="N8" s="1">
        <v>6</v>
      </c>
      <c r="O8" s="6">
        <f>SUM(D38:E44) + (60*P8)</f>
        <v>1370</v>
      </c>
      <c r="P8" s="6">
        <f>SUM(F38:F44)</f>
        <v>20</v>
      </c>
      <c r="Q8" s="5">
        <f t="shared" si="0"/>
        <v>22.833333333333332</v>
      </c>
    </row>
    <row r="9" spans="1:17" x14ac:dyDescent="0.35">
      <c r="A9" s="7">
        <v>46033</v>
      </c>
      <c r="B9" s="2" t="s">
        <v>13</v>
      </c>
      <c r="C9" s="2" t="s">
        <v>13</v>
      </c>
      <c r="E9" s="5">
        <f>IFERROR(MINUTE((Table1[[#This Row],[Stop]]-Table1[[#This Row],[Start]])),0)</f>
        <v>0</v>
      </c>
      <c r="F9" s="5">
        <f>IFERROR(HOUR(Table1[[#This Row],[Stop]]-Table1[[#This Row],[Start]]),0)</f>
        <v>0</v>
      </c>
      <c r="N9" s="1">
        <v>7</v>
      </c>
      <c r="O9" s="6">
        <f>SUM(D45:E51) + (60*P9)</f>
        <v>1378</v>
      </c>
      <c r="P9" s="6">
        <f>SUM(F45:F51)</f>
        <v>20</v>
      </c>
      <c r="Q9" s="5">
        <f t="shared" si="0"/>
        <v>22.966666666666665</v>
      </c>
    </row>
    <row r="10" spans="1:17" x14ac:dyDescent="0.35">
      <c r="A10" s="7">
        <v>46034</v>
      </c>
      <c r="B10" s="2">
        <v>46034.488603819445</v>
      </c>
      <c r="C10" s="2">
        <v>46034.672431481478</v>
      </c>
      <c r="E10" s="5">
        <f>IFERROR(MINUTE((Table1[[#This Row],[Stop]]-Table1[[#This Row],[Start]])),0)</f>
        <v>24</v>
      </c>
      <c r="F10" s="5">
        <f>IFERROR(HOUR(Table1[[#This Row],[Stop]]-Table1[[#This Row],[Start]]),0)</f>
        <v>4</v>
      </c>
      <c r="N10" s="1">
        <v>8</v>
      </c>
      <c r="O10" s="6">
        <f>SUM(D52:E58) + (60*P10)</f>
        <v>1857</v>
      </c>
      <c r="P10" s="6">
        <f>SUM(F52:F58)</f>
        <v>28</v>
      </c>
      <c r="Q10" s="5">
        <f t="shared" si="0"/>
        <v>30.95</v>
      </c>
    </row>
    <row r="11" spans="1:17" x14ac:dyDescent="0.35">
      <c r="A11" s="7">
        <v>46035</v>
      </c>
      <c r="B11" s="2">
        <v>46035.564696643516</v>
      </c>
      <c r="C11" s="2">
        <v>46035.750115740739</v>
      </c>
      <c r="E11" s="5">
        <f>IFERROR(MINUTE((Table1[[#This Row],[Stop]]-Table1[[#This Row],[Start]])),0)</f>
        <v>27</v>
      </c>
      <c r="F11" s="5">
        <f>IFERROR(HOUR(Table1[[#This Row],[Stop]]-Table1[[#This Row],[Start]]),0)</f>
        <v>4</v>
      </c>
      <c r="N11" s="1">
        <v>9</v>
      </c>
      <c r="O11" s="6">
        <f>SUM(D59:E65) + (60*P11)</f>
        <v>1200</v>
      </c>
      <c r="P11" s="6">
        <f>SUM(F59:F65)</f>
        <v>17</v>
      </c>
      <c r="Q11" s="5">
        <f t="shared" si="0"/>
        <v>20</v>
      </c>
    </row>
    <row r="12" spans="1:17" x14ac:dyDescent="0.35">
      <c r="A12" s="7">
        <v>46036</v>
      </c>
      <c r="B12" s="2">
        <v>46036.506007870368</v>
      </c>
      <c r="C12" s="2">
        <v>46036.625069444446</v>
      </c>
      <c r="E12" s="5">
        <f>IFERROR(MINUTE((Table1[[#This Row],[Stop]]-Table1[[#This Row],[Start]])),0)</f>
        <v>51</v>
      </c>
      <c r="F12" s="5">
        <f>IFERROR(HOUR(Table1[[#This Row],[Stop]]-Table1[[#This Row],[Start]]),0)</f>
        <v>2</v>
      </c>
      <c r="N12" s="1">
        <v>10</v>
      </c>
      <c r="O12" s="6">
        <f>SUM(D66:E72) + (60*P12)</f>
        <v>0</v>
      </c>
      <c r="P12" s="6">
        <f>SUM(F66:F72)</f>
        <v>0</v>
      </c>
      <c r="Q12" s="5">
        <f>O12/60</f>
        <v>0</v>
      </c>
    </row>
    <row r="13" spans="1:17" x14ac:dyDescent="0.35">
      <c r="A13" s="7">
        <v>46037</v>
      </c>
      <c r="B13" s="2">
        <v>46037.561650115742</v>
      </c>
      <c r="C13" s="2">
        <v>46037.750115740739</v>
      </c>
      <c r="E13" s="5">
        <f>IFERROR(MINUTE((Table1[[#This Row],[Stop]]-Table1[[#This Row],[Start]])),0)</f>
        <v>31</v>
      </c>
      <c r="F13" s="5">
        <f>IFERROR(HOUR(Table1[[#This Row],[Stop]]-Table1[[#This Row],[Start]]),0)</f>
        <v>4</v>
      </c>
    </row>
    <row r="14" spans="1:17" x14ac:dyDescent="0.35">
      <c r="A14" s="7">
        <v>46038</v>
      </c>
      <c r="B14" s="2">
        <v>46038.500196759262</v>
      </c>
      <c r="C14" s="2">
        <v>46038.666898148149</v>
      </c>
      <c r="E14" s="5">
        <f>IFERROR(MINUTE((Table1[[#This Row],[Stop]]-Table1[[#This Row],[Start]])),0)</f>
        <v>0</v>
      </c>
      <c r="F14" s="5">
        <f>IFERROR(HOUR(Table1[[#This Row],[Stop]]-Table1[[#This Row],[Start]]),0)</f>
        <v>4</v>
      </c>
    </row>
    <row r="15" spans="1:17" x14ac:dyDescent="0.35">
      <c r="A15" s="7">
        <v>46039</v>
      </c>
      <c r="B15" s="2" t="s">
        <v>13</v>
      </c>
      <c r="C15" s="2" t="s">
        <v>13</v>
      </c>
      <c r="E15" s="5">
        <f>IFERROR(MINUTE((Table1[[#This Row],[Stop]]-Table1[[#This Row],[Start]])),0)</f>
        <v>0</v>
      </c>
      <c r="F15" s="5">
        <f>IFERROR(HOUR(Table1[[#This Row],[Stop]]-Table1[[#This Row],[Start]]),0)</f>
        <v>0</v>
      </c>
    </row>
    <row r="16" spans="1:17" x14ac:dyDescent="0.35">
      <c r="A16" s="7">
        <v>46040</v>
      </c>
      <c r="B16" s="2" t="s">
        <v>13</v>
      </c>
      <c r="C16" s="2" t="s">
        <v>13</v>
      </c>
      <c r="E16" s="5">
        <f>IFERROR(MINUTE((Table1[[#This Row],[Stop]]-Table1[[#This Row],[Start]])),0)</f>
        <v>0</v>
      </c>
      <c r="F16" s="5">
        <f>IFERROR(HOUR(Table1[[#This Row],[Stop]]-Table1[[#This Row],[Start]]),0)</f>
        <v>0</v>
      </c>
    </row>
    <row r="17" spans="1:6" x14ac:dyDescent="0.35">
      <c r="A17" s="7">
        <v>46041</v>
      </c>
      <c r="B17" s="2">
        <v>46041.499320138886</v>
      </c>
      <c r="C17" s="2">
        <v>46041.758986921297</v>
      </c>
      <c r="E17" s="5">
        <f>IFERROR(MINUTE((Table1[[#This Row],[Stop]]-Table1[[#This Row],[Start]])),0)</f>
        <v>13</v>
      </c>
      <c r="F17" s="5">
        <f>IFERROR(HOUR(Table1[[#This Row],[Stop]]-Table1[[#This Row],[Start]]),0)</f>
        <v>6</v>
      </c>
    </row>
    <row r="18" spans="1:6" x14ac:dyDescent="0.35">
      <c r="A18" s="7">
        <v>46042</v>
      </c>
      <c r="B18" s="2">
        <v>46042.495302777781</v>
      </c>
      <c r="C18" s="2">
        <v>46042.708460648151</v>
      </c>
      <c r="E18" s="5">
        <f>IFERROR(MINUTE((Table1[[#This Row],[Stop]]-Table1[[#This Row],[Start]])),0)</f>
        <v>6</v>
      </c>
      <c r="F18" s="5">
        <f>IFERROR(HOUR(Table1[[#This Row],[Stop]]-Table1[[#This Row],[Start]]),0)</f>
        <v>5</v>
      </c>
    </row>
    <row r="19" spans="1:6" x14ac:dyDescent="0.35">
      <c r="A19" s="7">
        <v>46043</v>
      </c>
      <c r="B19" s="2">
        <v>46043.495493981478</v>
      </c>
      <c r="C19" s="2">
        <v>46043.792025462964</v>
      </c>
      <c r="E19" s="5">
        <f>IFERROR(MINUTE((Table1[[#This Row],[Stop]]-Table1[[#This Row],[Start]])),0)</f>
        <v>7</v>
      </c>
      <c r="F19" s="5">
        <f>IFERROR(HOUR(Table1[[#This Row],[Stop]]-Table1[[#This Row],[Start]]),0)</f>
        <v>7</v>
      </c>
    </row>
    <row r="20" spans="1:6" x14ac:dyDescent="0.35">
      <c r="A20" s="7">
        <v>46044</v>
      </c>
      <c r="B20" s="2">
        <v>46044.593530092592</v>
      </c>
      <c r="C20" s="2">
        <v>46044.699271759258</v>
      </c>
      <c r="E20" s="5">
        <f>IFERROR(MINUTE((Table1[[#This Row],[Stop]]-Table1[[#This Row],[Start]])),0)</f>
        <v>32</v>
      </c>
      <c r="F20" s="5">
        <f>IFERROR(HOUR(Table1[[#This Row],[Stop]]-Table1[[#This Row],[Start]]),0)</f>
        <v>2</v>
      </c>
    </row>
    <row r="21" spans="1:6" x14ac:dyDescent="0.35">
      <c r="A21" s="7">
        <v>46045</v>
      </c>
      <c r="B21" s="2">
        <v>46045.56648645833</v>
      </c>
      <c r="C21" s="2">
        <v>46045.653171296297</v>
      </c>
      <c r="E21" s="5">
        <f>IFERROR(MINUTE((Table1[[#This Row],[Stop]]-Table1[[#This Row],[Start]])),0)</f>
        <v>4</v>
      </c>
      <c r="F21" s="5">
        <f>IFERROR(HOUR(Table1[[#This Row],[Stop]]-Table1[[#This Row],[Start]]),0)</f>
        <v>2</v>
      </c>
    </row>
    <row r="22" spans="1:6" x14ac:dyDescent="0.35">
      <c r="A22" s="7">
        <v>46046</v>
      </c>
      <c r="B22" s="2" t="s">
        <v>13</v>
      </c>
      <c r="C22" s="2" t="s">
        <v>13</v>
      </c>
      <c r="E22" s="5">
        <f>IFERROR(MINUTE((Table1[[#This Row],[Stop]]-Table1[[#This Row],[Start]])),0)</f>
        <v>0</v>
      </c>
      <c r="F22" s="5">
        <f>IFERROR(HOUR(Table1[[#This Row],[Stop]]-Table1[[#This Row],[Start]]),0)</f>
        <v>0</v>
      </c>
    </row>
    <row r="23" spans="1:6" x14ac:dyDescent="0.35">
      <c r="A23" s="7">
        <v>46047</v>
      </c>
      <c r="B23" s="2" t="s">
        <v>13</v>
      </c>
      <c r="C23" s="2" t="s">
        <v>13</v>
      </c>
      <c r="E23" s="5">
        <f>IFERROR(MINUTE((Table1[[#This Row],[Stop]]-Table1[[#This Row],[Start]])),0)</f>
        <v>0</v>
      </c>
      <c r="F23" s="5">
        <f>IFERROR(HOUR(Table1[[#This Row],[Stop]]-Table1[[#This Row],[Start]]),0)</f>
        <v>0</v>
      </c>
    </row>
    <row r="24" spans="1:6" x14ac:dyDescent="0.35">
      <c r="A24" s="7">
        <v>46048</v>
      </c>
      <c r="B24" s="2">
        <v>46048.520721759262</v>
      </c>
      <c r="C24" s="2">
        <v>46048.985324074078</v>
      </c>
      <c r="E24" s="5">
        <f>IFERROR(MINUTE((Table1[[#This Row],[Stop]]-Table1[[#This Row],[Start]])),0)</f>
        <v>9</v>
      </c>
      <c r="F24" s="5">
        <f>IFERROR(HOUR(Table1[[#This Row],[Stop]]-Table1[[#This Row],[Start]]),0)</f>
        <v>11</v>
      </c>
    </row>
    <row r="25" spans="1:6" x14ac:dyDescent="0.35">
      <c r="A25" s="7">
        <v>46049</v>
      </c>
      <c r="B25" s="2">
        <v>46049.583865740744</v>
      </c>
      <c r="C25" s="2">
        <v>46049.750069444446</v>
      </c>
      <c r="E25" s="5">
        <f>IFERROR(MINUTE((Table1[[#This Row],[Stop]]-Table1[[#This Row],[Start]])),0)</f>
        <v>59</v>
      </c>
      <c r="F25" s="5">
        <f>IFERROR(HOUR(Table1[[#This Row],[Stop]]-Table1[[#This Row],[Start]]),0)</f>
        <v>3</v>
      </c>
    </row>
    <row r="26" spans="1:6" x14ac:dyDescent="0.35">
      <c r="A26" s="7">
        <v>46050</v>
      </c>
      <c r="B26" s="2">
        <v>46050.504202662036</v>
      </c>
      <c r="C26" s="2">
        <v>46050.667615740742</v>
      </c>
      <c r="E26" s="5">
        <f>IFERROR(MINUTE((Table1[[#This Row],[Stop]]-Table1[[#This Row],[Start]])),0)</f>
        <v>55</v>
      </c>
      <c r="F26" s="5">
        <f>IFERROR(HOUR(Table1[[#This Row],[Stop]]-Table1[[#This Row],[Start]]),0)</f>
        <v>3</v>
      </c>
    </row>
    <row r="27" spans="1:6" x14ac:dyDescent="0.35">
      <c r="A27" s="7">
        <v>46051</v>
      </c>
      <c r="B27" s="2">
        <v>46051.575492939817</v>
      </c>
      <c r="C27" s="2">
        <v>46051.715775462966</v>
      </c>
      <c r="E27" s="5">
        <f>IFERROR(MINUTE((Table1[[#This Row],[Stop]]-Table1[[#This Row],[Start]])),0)</f>
        <v>22</v>
      </c>
      <c r="F27" s="5">
        <f>IFERROR(HOUR(Table1[[#This Row],[Stop]]-Table1[[#This Row],[Start]]),0)</f>
        <v>3</v>
      </c>
    </row>
    <row r="28" spans="1:6" x14ac:dyDescent="0.35">
      <c r="A28" s="7">
        <v>46052</v>
      </c>
      <c r="B28" s="2">
        <v>46052.52367696759</v>
      </c>
      <c r="C28" s="2">
        <v>46052.57707175926</v>
      </c>
      <c r="E28" s="5">
        <f>IFERROR(MINUTE((Table1[[#This Row],[Stop]]-Table1[[#This Row],[Start]])),0)</f>
        <v>16</v>
      </c>
      <c r="F28" s="5">
        <f>IFERROR(HOUR(Table1[[#This Row],[Stop]]-Table1[[#This Row],[Start]]),0)</f>
        <v>1</v>
      </c>
    </row>
    <row r="29" spans="1:6" x14ac:dyDescent="0.35">
      <c r="A29" s="7">
        <v>46053</v>
      </c>
      <c r="B29" s="2" t="s">
        <v>13</v>
      </c>
      <c r="C29" s="2" t="s">
        <v>13</v>
      </c>
      <c r="E29" s="5">
        <f>IFERROR(MINUTE((Table1[[#This Row],[Stop]]-Table1[[#This Row],[Start]])),0)</f>
        <v>0</v>
      </c>
      <c r="F29" s="5">
        <f>IFERROR(HOUR(Table1[[#This Row],[Stop]]-Table1[[#This Row],[Start]]),0)</f>
        <v>0</v>
      </c>
    </row>
    <row r="30" spans="1:6" x14ac:dyDescent="0.35">
      <c r="A30" s="7">
        <v>46054</v>
      </c>
      <c r="B30" s="2" t="s">
        <v>13</v>
      </c>
      <c r="C30" s="2" t="s">
        <v>13</v>
      </c>
      <c r="E30" s="5">
        <f>IFERROR(MINUTE((Table1[[#This Row],[Stop]]-Table1[[#This Row],[Start]])),0)</f>
        <v>0</v>
      </c>
      <c r="F30" s="5">
        <f>IFERROR(HOUR(Table1[[#This Row],[Stop]]-Table1[[#This Row],[Start]]),0)</f>
        <v>0</v>
      </c>
    </row>
    <row r="31" spans="1:6" x14ac:dyDescent="0.35">
      <c r="A31" s="7">
        <v>46055</v>
      </c>
      <c r="B31" s="2">
        <v>46055.511829745374</v>
      </c>
      <c r="C31" s="2">
        <v>46055.604791666665</v>
      </c>
      <c r="D31" s="5">
        <v>10</v>
      </c>
      <c r="E31" s="5">
        <f>IFERROR(MINUTE((Table1[[#This Row],[Stop]]-Table1[[#This Row],[Start]])),0)</f>
        <v>13</v>
      </c>
      <c r="F31" s="5">
        <f>IFERROR(HOUR(Table1[[#This Row],[Stop]]-Table1[[#This Row],[Start]]),0)</f>
        <v>2</v>
      </c>
    </row>
    <row r="32" spans="1:6" x14ac:dyDescent="0.35">
      <c r="A32" s="7">
        <v>46056</v>
      </c>
      <c r="B32" s="2">
        <v>46056.580678124999</v>
      </c>
      <c r="C32" s="2">
        <v>46056.75068287037</v>
      </c>
      <c r="E32" s="5">
        <f>IFERROR(MINUTE((Table1[[#This Row],[Stop]]-Table1[[#This Row],[Start]])),0)</f>
        <v>4</v>
      </c>
      <c r="F32" s="5">
        <f>IFERROR(HOUR(Table1[[#This Row],[Stop]]-Table1[[#This Row],[Start]]),0)</f>
        <v>4</v>
      </c>
    </row>
    <row r="33" spans="1:6" x14ac:dyDescent="0.35">
      <c r="A33" s="7">
        <v>46057</v>
      </c>
      <c r="B33" s="2">
        <v>46057.535749884257</v>
      </c>
      <c r="C33" s="2">
        <v>46057.688575</v>
      </c>
      <c r="E33" s="5">
        <f>IFERROR(MINUTE((Table1[[#This Row],[Stop]]-Table1[[#This Row],[Start]])),0)</f>
        <v>40</v>
      </c>
      <c r="F33" s="5">
        <f>IFERROR(HOUR(Table1[[#This Row],[Stop]]-Table1[[#This Row],[Start]]),0)</f>
        <v>3</v>
      </c>
    </row>
    <row r="34" spans="1:6" x14ac:dyDescent="0.35">
      <c r="A34" s="7">
        <v>46058</v>
      </c>
      <c r="B34" s="2">
        <v>46058.569537037038</v>
      </c>
      <c r="C34" s="2">
        <v>46058.958425925928</v>
      </c>
      <c r="E34" s="5">
        <f>IFERROR(MINUTE((Table1[[#This Row],[Stop]]-Table1[[#This Row],[Start]])),0)</f>
        <v>20</v>
      </c>
      <c r="F34" s="5">
        <f>IFERROR(HOUR(Table1[[#This Row],[Stop]]-Table1[[#This Row],[Start]]),0)</f>
        <v>9</v>
      </c>
    </row>
    <row r="35" spans="1:6" x14ac:dyDescent="0.35">
      <c r="A35" s="7">
        <v>46059</v>
      </c>
      <c r="B35" s="2">
        <v>46059.513006597219</v>
      </c>
      <c r="C35" s="2">
        <v>46059.61440972222</v>
      </c>
      <c r="D35" s="5">
        <v>10</v>
      </c>
      <c r="E35" s="5">
        <f>IFERROR(MINUTE((Table1[[#This Row],[Stop]]-Table1[[#This Row],[Start]])),0)</f>
        <v>26</v>
      </c>
      <c r="F35" s="5">
        <f>IFERROR(HOUR(Table1[[#This Row],[Stop]]-Table1[[#This Row],[Start]]),0)</f>
        <v>2</v>
      </c>
    </row>
    <row r="36" spans="1:6" x14ac:dyDescent="0.35">
      <c r="A36" s="7">
        <v>46060</v>
      </c>
      <c r="B36" s="2" t="s">
        <v>13</v>
      </c>
      <c r="C36" s="2" t="s">
        <v>13</v>
      </c>
      <c r="E36" s="5">
        <f>IFERROR(MINUTE((Table1[[#This Row],[Stop]]-Table1[[#This Row],[Start]])),0)</f>
        <v>0</v>
      </c>
      <c r="F36" s="5">
        <f>IFERROR(HOUR(Table1[[#This Row],[Stop]]-Table1[[#This Row],[Start]]),0)</f>
        <v>0</v>
      </c>
    </row>
    <row r="37" spans="1:6" x14ac:dyDescent="0.35">
      <c r="A37" s="7">
        <v>46061</v>
      </c>
      <c r="B37" s="2" t="s">
        <v>13</v>
      </c>
      <c r="C37" s="2" t="s">
        <v>13</v>
      </c>
      <c r="E37" s="5">
        <f>IFERROR(MINUTE((Table1[[#This Row],[Stop]]-Table1[[#This Row],[Start]])),0)</f>
        <v>0</v>
      </c>
      <c r="F37" s="5">
        <f>IFERROR(HOUR(Table1[[#This Row],[Stop]]-Table1[[#This Row],[Start]]),0)</f>
        <v>0</v>
      </c>
    </row>
    <row r="38" spans="1:6" x14ac:dyDescent="0.35">
      <c r="A38" s="7">
        <v>46062</v>
      </c>
      <c r="B38" s="2">
        <v>46062.532546527778</v>
      </c>
      <c r="C38" s="2">
        <v>46062.587678587966</v>
      </c>
      <c r="E38" s="5">
        <f>IFERROR(MINUTE((Table1[[#This Row],[Stop]]-Table1[[#This Row],[Start]])),0)</f>
        <v>19</v>
      </c>
      <c r="F38" s="5">
        <f>IFERROR(HOUR(Table1[[#This Row],[Stop]]-Table1[[#This Row],[Start]]),0)</f>
        <v>1</v>
      </c>
    </row>
    <row r="39" spans="1:6" x14ac:dyDescent="0.35">
      <c r="A39" s="7">
        <v>46063</v>
      </c>
      <c r="B39" s="2">
        <v>46063.570104166669</v>
      </c>
      <c r="C39" s="2">
        <v>46063.769618055558</v>
      </c>
      <c r="E39" s="5">
        <f>IFERROR(MINUTE((Table1[[#This Row],[Stop]]-Table1[[#This Row],[Start]])),0)</f>
        <v>47</v>
      </c>
      <c r="F39" s="5">
        <f>IFERROR(HOUR(Table1[[#This Row],[Stop]]-Table1[[#This Row],[Start]]),0)</f>
        <v>4</v>
      </c>
    </row>
    <row r="40" spans="1:6" x14ac:dyDescent="0.35">
      <c r="A40" s="7">
        <v>46064</v>
      </c>
      <c r="B40" s="2">
        <v>46064.534594907411</v>
      </c>
      <c r="C40" s="2">
        <v>46064.625451388885</v>
      </c>
      <c r="E40" s="5">
        <f>IFERROR(MINUTE((Table1[[#This Row],[Stop]]-Table1[[#This Row],[Start]])),0)</f>
        <v>10</v>
      </c>
      <c r="F40" s="5">
        <f>IFERROR(HOUR(Table1[[#This Row],[Stop]]-Table1[[#This Row],[Start]]),0)</f>
        <v>2</v>
      </c>
    </row>
    <row r="41" spans="1:6" x14ac:dyDescent="0.35">
      <c r="A41" s="7">
        <v>46065</v>
      </c>
      <c r="B41" s="2">
        <v>46065.555194328706</v>
      </c>
      <c r="C41" s="2">
        <v>46065.745251388886</v>
      </c>
      <c r="E41" s="5">
        <f>IFERROR(MINUTE((Table1[[#This Row],[Stop]]-Table1[[#This Row],[Start]])),0)</f>
        <v>33</v>
      </c>
      <c r="F41" s="5">
        <f>IFERROR(HOUR(Table1[[#This Row],[Stop]]-Table1[[#This Row],[Start]]),0)</f>
        <v>4</v>
      </c>
    </row>
    <row r="42" spans="1:6" x14ac:dyDescent="0.35">
      <c r="A42" s="7">
        <v>46066</v>
      </c>
      <c r="B42" s="2">
        <v>46066.568680555552</v>
      </c>
      <c r="C42" s="2">
        <v>46066.976203703707</v>
      </c>
      <c r="D42" s="5">
        <v>15</v>
      </c>
      <c r="E42" s="5">
        <f>IFERROR(MINUTE((Table1[[#This Row],[Stop]]-Table1[[#This Row],[Start]])),0)</f>
        <v>46</v>
      </c>
      <c r="F42" s="5">
        <f>IFERROR(HOUR(Table1[[#This Row],[Stop]]-Table1[[#This Row],[Start]]),0)</f>
        <v>9</v>
      </c>
    </row>
    <row r="43" spans="1:6" x14ac:dyDescent="0.35">
      <c r="A43" s="7">
        <v>46067</v>
      </c>
      <c r="B43" s="2" t="s">
        <v>13</v>
      </c>
      <c r="C43" s="2" t="s">
        <v>13</v>
      </c>
      <c r="E43" s="5">
        <f>IFERROR(MINUTE((Table1[[#This Row],[Stop]]-Table1[[#This Row],[Start]])),0)</f>
        <v>0</v>
      </c>
      <c r="F43" s="5">
        <f>IFERROR(HOUR(Table1[[#This Row],[Stop]]-Table1[[#This Row],[Start]]),0)</f>
        <v>0</v>
      </c>
    </row>
    <row r="44" spans="1:6" x14ac:dyDescent="0.35">
      <c r="A44" s="7">
        <v>46068</v>
      </c>
      <c r="B44" s="2" t="s">
        <v>13</v>
      </c>
      <c r="C44" s="2" t="s">
        <v>13</v>
      </c>
      <c r="E44" s="5">
        <f>IFERROR(MINUTE((Table1[[#This Row],[Stop]]-Table1[[#This Row],[Start]])),0)</f>
        <v>0</v>
      </c>
      <c r="F44" s="5">
        <f>IFERROR(HOUR(Table1[[#This Row],[Stop]]-Table1[[#This Row],[Start]]),0)</f>
        <v>0</v>
      </c>
    </row>
    <row r="45" spans="1:6" x14ac:dyDescent="0.35">
      <c r="A45" s="7">
        <v>46069</v>
      </c>
      <c r="B45" s="2" t="s">
        <v>13</v>
      </c>
      <c r="C45" s="2" t="s">
        <v>13</v>
      </c>
      <c r="E45" s="5">
        <f>IFERROR(MINUTE((Table1[[#This Row],[Stop]]-Table1[[#This Row],[Start]])),0)</f>
        <v>0</v>
      </c>
      <c r="F45" s="5">
        <f>IFERROR(HOUR(Table1[[#This Row],[Stop]]-Table1[[#This Row],[Start]]),0)</f>
        <v>0</v>
      </c>
    </row>
    <row r="46" spans="1:6" x14ac:dyDescent="0.35">
      <c r="A46" s="7">
        <v>46070</v>
      </c>
      <c r="B46" s="2">
        <v>46070.578633564815</v>
      </c>
      <c r="C46" s="2">
        <v>46070.708599537036</v>
      </c>
      <c r="E46" s="5">
        <f>IFERROR(MINUTE((Table1[[#This Row],[Stop]]-Table1[[#This Row],[Start]])),0)</f>
        <v>7</v>
      </c>
      <c r="F46" s="5">
        <f>IFERROR(HOUR(Table1[[#This Row],[Stop]]-Table1[[#This Row],[Start]]),0)</f>
        <v>3</v>
      </c>
    </row>
    <row r="47" spans="1:6" x14ac:dyDescent="0.35">
      <c r="A47" s="7">
        <v>46071</v>
      </c>
      <c r="B47" s="2" t="s">
        <v>13</v>
      </c>
      <c r="C47" s="2" t="s">
        <v>13</v>
      </c>
      <c r="D47" s="5">
        <v>60</v>
      </c>
      <c r="E47" s="5">
        <f>IFERROR(MINUTE((Table1[[#This Row],[Stop]]-Table1[[#This Row],[Start]])),0)</f>
        <v>0</v>
      </c>
      <c r="F47" s="5">
        <f>IFERROR(HOUR(Table1[[#This Row],[Stop]]-Table1[[#This Row],[Start]]),0)</f>
        <v>0</v>
      </c>
    </row>
    <row r="48" spans="1:6" x14ac:dyDescent="0.35">
      <c r="A48" s="7">
        <v>46072</v>
      </c>
      <c r="B48" s="2">
        <v>46072.625451388885</v>
      </c>
      <c r="C48" s="2">
        <v>46072.729618055557</v>
      </c>
      <c r="E48" s="5">
        <f>IFERROR(MINUTE((Table1[[#This Row],[Stop]]-Table1[[#This Row],[Start]])),0)</f>
        <v>30</v>
      </c>
      <c r="F48" s="5">
        <f>IFERROR(HOUR(Table1[[#This Row],[Stop]]-Table1[[#This Row],[Start]]),0)</f>
        <v>2</v>
      </c>
    </row>
    <row r="49" spans="1:6" x14ac:dyDescent="0.35">
      <c r="A49" s="7">
        <v>46073</v>
      </c>
      <c r="B49" s="2">
        <v>46073.472314814811</v>
      </c>
      <c r="C49" s="2">
        <v>46074.125613425924</v>
      </c>
      <c r="D49" s="5">
        <v>10</v>
      </c>
      <c r="E49" s="5">
        <f>IFERROR(MINUTE((Table1[[#This Row],[Stop]]-Table1[[#This Row],[Start]])),0)</f>
        <v>40</v>
      </c>
      <c r="F49" s="5">
        <f>IFERROR(HOUR(Table1[[#This Row],[Stop]]-Table1[[#This Row],[Start]]),0)</f>
        <v>15</v>
      </c>
    </row>
    <row r="50" spans="1:6" x14ac:dyDescent="0.35">
      <c r="A50" s="7">
        <v>46074</v>
      </c>
      <c r="B50" s="2" t="s">
        <v>13</v>
      </c>
      <c r="C50" s="2" t="s">
        <v>13</v>
      </c>
      <c r="E50" s="5">
        <f>IFERROR(MINUTE((Table1[[#This Row],[Stop]]-Table1[[#This Row],[Start]])),0)</f>
        <v>0</v>
      </c>
      <c r="F50" s="5">
        <f>IFERROR(HOUR(Table1[[#This Row],[Stop]]-Table1[[#This Row],[Start]]),0)</f>
        <v>0</v>
      </c>
    </row>
    <row r="51" spans="1:6" x14ac:dyDescent="0.35">
      <c r="A51" s="7">
        <v>46075</v>
      </c>
      <c r="B51" s="2">
        <v>46075.661360416663</v>
      </c>
      <c r="C51" s="2">
        <v>46075.683182870373</v>
      </c>
      <c r="E51" s="5">
        <f>IFERROR(MINUTE((Table1[[#This Row],[Stop]]-Table1[[#This Row],[Start]])),0)</f>
        <v>31</v>
      </c>
      <c r="F51" s="5">
        <f>IFERROR(HOUR(Table1[[#This Row],[Stop]]-Table1[[#This Row],[Start]]),0)</f>
        <v>0</v>
      </c>
    </row>
    <row r="52" spans="1:6" x14ac:dyDescent="0.35">
      <c r="A52" s="7">
        <v>46076</v>
      </c>
      <c r="B52" s="2">
        <v>46076.486793981479</v>
      </c>
      <c r="C52" s="2">
        <v>46076.656846874997</v>
      </c>
      <c r="E52" s="5">
        <f>IFERROR(MINUTE((Table1[[#This Row],[Stop]]-Table1[[#This Row],[Start]])),0)</f>
        <v>4</v>
      </c>
      <c r="F52" s="5">
        <f>IFERROR(HOUR(Table1[[#This Row],[Stop]]-Table1[[#This Row],[Start]]),0)</f>
        <v>4</v>
      </c>
    </row>
    <row r="53" spans="1:6" x14ac:dyDescent="0.35">
      <c r="A53" s="7">
        <v>46077</v>
      </c>
      <c r="B53" s="4">
        <v>46077.555694444447</v>
      </c>
      <c r="C53" s="4">
        <v>46078.167118055557</v>
      </c>
      <c r="E53" s="5">
        <f>IFERROR(MINUTE((Table1[[#This Row],[Stop]]-Table1[[#This Row],[Start]])),0)</f>
        <v>40</v>
      </c>
      <c r="F53" s="5">
        <f>IFERROR(HOUR(Table1[[#This Row],[Stop]]-Table1[[#This Row],[Start]]),0)</f>
        <v>14</v>
      </c>
    </row>
    <row r="54" spans="1:6" x14ac:dyDescent="0.35">
      <c r="A54" s="7">
        <v>46078</v>
      </c>
      <c r="B54" s="2">
        <v>46078.470724305553</v>
      </c>
      <c r="C54" s="2">
        <v>46078.542256944442</v>
      </c>
      <c r="E54" s="5">
        <f>IFERROR(MINUTE((Table1[[#This Row],[Stop]]-Table1[[#This Row],[Start]])),0)</f>
        <v>43</v>
      </c>
      <c r="F54" s="5">
        <f>IFERROR(HOUR(Table1[[#This Row],[Stop]]-Table1[[#This Row],[Start]]),0)</f>
        <v>1</v>
      </c>
    </row>
    <row r="55" spans="1:6" x14ac:dyDescent="0.35">
      <c r="A55" s="7">
        <v>46079</v>
      </c>
      <c r="B55" s="2">
        <v>46079.585710995372</v>
      </c>
      <c r="C55" s="2">
        <v>46079.999594907407</v>
      </c>
      <c r="E55" s="5">
        <f>IFERROR(MINUTE((Table1[[#This Row],[Stop]]-Table1[[#This Row],[Start]])),0)</f>
        <v>56</v>
      </c>
      <c r="F55" s="5">
        <f>IFERROR(HOUR(Table1[[#This Row],[Stop]]-Table1[[#This Row],[Start]]),0)</f>
        <v>9</v>
      </c>
    </row>
    <row r="56" spans="1:6" x14ac:dyDescent="0.35">
      <c r="A56" s="7">
        <v>46080</v>
      </c>
      <c r="B56" s="4">
        <v>46080.583541666667</v>
      </c>
      <c r="C56" s="2">
        <v>46080.607357291665</v>
      </c>
      <c r="E56" s="5">
        <f>IFERROR(MINUTE((Table1[[#This Row],[Stop]]-Table1[[#This Row],[Start]])),0)</f>
        <v>34</v>
      </c>
      <c r="F56" s="5">
        <f>IFERROR(HOUR(Table1[[#This Row],[Stop]]-Table1[[#This Row],[Start]]),0)</f>
        <v>0</v>
      </c>
    </row>
    <row r="57" spans="1:6" x14ac:dyDescent="0.35">
      <c r="A57" s="7">
        <v>46081</v>
      </c>
      <c r="B57" s="2" t="s">
        <v>13</v>
      </c>
      <c r="C57" s="2" t="s">
        <v>13</v>
      </c>
      <c r="E57" s="5">
        <f>IFERROR(MINUTE((Table1[[#This Row],[Stop]]-Table1[[#This Row],[Start]])),0)</f>
        <v>0</v>
      </c>
      <c r="F57" s="5">
        <f>IFERROR(HOUR(Table1[[#This Row],[Stop]]-Table1[[#This Row],[Start]]),0)</f>
        <v>0</v>
      </c>
    </row>
    <row r="58" spans="1:6" x14ac:dyDescent="0.35">
      <c r="A58" s="7">
        <v>46082</v>
      </c>
      <c r="B58" s="2" t="s">
        <v>13</v>
      </c>
      <c r="C58" s="2" t="s">
        <v>13</v>
      </c>
      <c r="E58" s="5">
        <f>IFERROR(MINUTE((Table1[[#This Row],[Stop]]-Table1[[#This Row],[Start]])),0)</f>
        <v>0</v>
      </c>
      <c r="F58" s="5">
        <f>IFERROR(HOUR(Table1[[#This Row],[Stop]]-Table1[[#This Row],[Start]]),0)</f>
        <v>0</v>
      </c>
    </row>
    <row r="59" spans="1:6" x14ac:dyDescent="0.35">
      <c r="A59" s="7">
        <v>46083</v>
      </c>
      <c r="B59" s="4">
        <v>46083.590872106484</v>
      </c>
      <c r="C59" s="4">
        <v>46083.715868055559</v>
      </c>
      <c r="D59" s="5">
        <v>30</v>
      </c>
      <c r="E59" s="5">
        <f>IFERROR(MINUTE((Table1[[#This Row],[Stop]]-Table1[[#This Row],[Start]])),0)</f>
        <v>0</v>
      </c>
      <c r="F59" s="5">
        <f>IFERROR(HOUR(Table1[[#This Row],[Stop]]-Table1[[#This Row],[Start]]),0)</f>
        <v>3</v>
      </c>
    </row>
    <row r="60" spans="1:6" x14ac:dyDescent="0.35">
      <c r="A60" s="7">
        <v>46084</v>
      </c>
      <c r="B60" s="4">
        <v>46084.619406018515</v>
      </c>
      <c r="C60" s="4">
        <v>46085.042326388888</v>
      </c>
      <c r="E60" s="5">
        <f>IFERROR(MINUTE((Table1[[#This Row],[Stop]]-Table1[[#This Row],[Start]])),0)</f>
        <v>9</v>
      </c>
      <c r="F60" s="5">
        <f>IFERROR(HOUR(Table1[[#This Row],[Stop]]-Table1[[#This Row],[Start]]),0)</f>
        <v>10</v>
      </c>
    </row>
    <row r="61" spans="1:6" x14ac:dyDescent="0.35">
      <c r="A61" s="7">
        <v>46085</v>
      </c>
      <c r="B61" s="2">
        <v>46085.573803009262</v>
      </c>
      <c r="C61" s="2">
        <v>46085.633039236112</v>
      </c>
      <c r="D61" s="5">
        <v>5</v>
      </c>
      <c r="E61" s="5">
        <f>IFERROR(MINUTE((Table1[[#This Row],[Stop]]-Table1[[#This Row],[Start]])),0)</f>
        <v>25</v>
      </c>
      <c r="F61" s="5">
        <f>IFERROR(HOUR(Table1[[#This Row],[Stop]]-Table1[[#This Row],[Start]]),0)</f>
        <v>1</v>
      </c>
    </row>
    <row r="62" spans="1:6" x14ac:dyDescent="0.35">
      <c r="A62" s="7">
        <v>46086</v>
      </c>
      <c r="B62" s="2">
        <v>46086.591332523145</v>
      </c>
      <c r="C62" s="2">
        <v>46086.709502314814</v>
      </c>
      <c r="E62" s="5">
        <f>IFERROR(MINUTE((Table1[[#This Row],[Stop]]-Table1[[#This Row],[Start]])),0)</f>
        <v>50</v>
      </c>
      <c r="F62" s="5">
        <f>IFERROR(HOUR(Table1[[#This Row],[Stop]]-Table1[[#This Row],[Start]]),0)</f>
        <v>2</v>
      </c>
    </row>
    <row r="63" spans="1:6" x14ac:dyDescent="0.35">
      <c r="A63" s="7">
        <v>46087</v>
      </c>
      <c r="B63" s="4">
        <v>46087.4624744213</v>
      </c>
      <c r="C63" s="2">
        <v>46087.539856597221</v>
      </c>
      <c r="D63" s="5">
        <v>10</v>
      </c>
      <c r="E63" s="5">
        <f>IFERROR(MINUTE((Table1[[#This Row],[Stop]]-Table1[[#This Row],[Start]])),0)</f>
        <v>51</v>
      </c>
      <c r="F63" s="5">
        <f>IFERROR(HOUR(Table1[[#This Row],[Stop]]-Table1[[#This Row],[Start]]),0)</f>
        <v>1</v>
      </c>
    </row>
    <row r="64" spans="1:6" x14ac:dyDescent="0.35">
      <c r="A64" s="7">
        <v>46088</v>
      </c>
      <c r="B64" s="2"/>
      <c r="C64" s="2"/>
      <c r="E64" s="5">
        <f>IFERROR(MINUTE((Table1[[#This Row],[Stop]]-Table1[[#This Row],[Start]])),0)</f>
        <v>0</v>
      </c>
      <c r="F64" s="5">
        <f>IFERROR(HOUR(Table1[[#This Row],[Stop]]-Table1[[#This Row],[Start]]),0)</f>
        <v>0</v>
      </c>
    </row>
    <row r="65" spans="1:6" x14ac:dyDescent="0.35">
      <c r="A65" s="7">
        <v>46089</v>
      </c>
      <c r="B65" s="2"/>
      <c r="C65" s="2"/>
      <c r="E65" s="5">
        <f>IFERROR(MINUTE((Table1[[#This Row],[Stop]]-Table1[[#This Row],[Start]])),0)</f>
        <v>0</v>
      </c>
      <c r="F65" s="5">
        <f>IFERROR(HOUR(Table1[[#This Row],[Stop]]-Table1[[#This Row],[Start]]),0)</f>
        <v>0</v>
      </c>
    </row>
    <row r="66" spans="1:6" x14ac:dyDescent="0.35">
      <c r="A66" s="7">
        <v>46090</v>
      </c>
      <c r="B66" s="2"/>
      <c r="C66" s="2"/>
      <c r="E66" s="5">
        <f>IFERROR(MINUTE((Table1[[#This Row],[Stop]]-Table1[[#This Row],[Start]])),0)</f>
        <v>0</v>
      </c>
      <c r="F66" s="5">
        <f>IFERROR(HOUR(Table1[[#This Row],[Stop]]-Table1[[#This Row],[Start]]),0)</f>
        <v>0</v>
      </c>
    </row>
    <row r="67" spans="1:6" x14ac:dyDescent="0.35">
      <c r="A67" s="7">
        <v>46091</v>
      </c>
      <c r="B67" s="2"/>
      <c r="C67" s="2"/>
      <c r="E67" s="5">
        <f>IFERROR(MINUTE((Table1[[#This Row],[Stop]]-Table1[[#This Row],[Start]])),0)</f>
        <v>0</v>
      </c>
      <c r="F67" s="5">
        <f>IFERROR(HOUR(Table1[[#This Row],[Stop]]-Table1[[#This Row],[Start]]),0)</f>
        <v>0</v>
      </c>
    </row>
    <row r="68" spans="1:6" x14ac:dyDescent="0.35">
      <c r="A68" s="7">
        <v>46092</v>
      </c>
      <c r="B68" s="2"/>
      <c r="C68" s="2"/>
      <c r="E68" s="5">
        <f>IFERROR(MINUTE((Table1[[#This Row],[Stop]]-Table1[[#This Row],[Start]])),0)</f>
        <v>0</v>
      </c>
      <c r="F68" s="5">
        <f>IFERROR(HOUR(Table1[[#This Row],[Stop]]-Table1[[#This Row],[Start]]),0)</f>
        <v>0</v>
      </c>
    </row>
    <row r="69" spans="1:6" x14ac:dyDescent="0.35">
      <c r="A69" s="7">
        <v>46093</v>
      </c>
      <c r="B69" s="2"/>
      <c r="C69" s="2"/>
      <c r="E69" s="5">
        <f>IFERROR(MINUTE((Table1[[#This Row],[Stop]]-Table1[[#This Row],[Start]])),0)</f>
        <v>0</v>
      </c>
      <c r="F69" s="5">
        <f>IFERROR(HOUR(Table1[[#This Row],[Stop]]-Table1[[#This Row],[Start]]),0)</f>
        <v>0</v>
      </c>
    </row>
    <row r="70" spans="1:6" x14ac:dyDescent="0.35">
      <c r="A70" s="7">
        <v>46094</v>
      </c>
      <c r="B70" s="2"/>
      <c r="C70" s="2"/>
      <c r="E70" s="5">
        <f>IFERROR(MINUTE((Table1[[#This Row],[Stop]]-Table1[[#This Row],[Start]])),0)</f>
        <v>0</v>
      </c>
      <c r="F70" s="5">
        <f>IFERROR(HOUR(Table1[[#This Row],[Stop]]-Table1[[#This Row],[Start]]),0)</f>
        <v>0</v>
      </c>
    </row>
    <row r="71" spans="1:6" x14ac:dyDescent="0.35">
      <c r="A71" s="7">
        <v>46095</v>
      </c>
      <c r="B71" s="2"/>
      <c r="C71" s="2"/>
      <c r="E71" s="5">
        <f>IFERROR(MINUTE((Table1[[#This Row],[Stop]]-Table1[[#This Row],[Start]])),0)</f>
        <v>0</v>
      </c>
      <c r="F71" s="5">
        <f>IFERROR(HOUR(Table1[[#This Row],[Stop]]-Table1[[#This Row],[Start]]),0)</f>
        <v>0</v>
      </c>
    </row>
    <row r="72" spans="1:6" x14ac:dyDescent="0.35">
      <c r="A72" s="7">
        <v>46096</v>
      </c>
      <c r="B72" s="2"/>
      <c r="C72" s="2"/>
      <c r="E72" s="5">
        <f>IFERROR(MINUTE((Table1[[#This Row],[Stop]]-Table1[[#This Row],[Start]])),0)</f>
        <v>0</v>
      </c>
      <c r="F72" s="5">
        <f>IFERROR(HOUR(Table1[[#This Row],[Stop]]-Table1[[#This Row],[Start]]),0)</f>
        <v>0</v>
      </c>
    </row>
  </sheetData>
  <mergeCells count="2">
    <mergeCell ref="G1:K1"/>
    <mergeCell ref="A1:F1"/>
  </mergeCells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wskinner</dc:creator>
  <cp:lastModifiedBy>William Skinner</cp:lastModifiedBy>
  <dcterms:created xsi:type="dcterms:W3CDTF">2015-06-05T18:17:20Z</dcterms:created>
  <dcterms:modified xsi:type="dcterms:W3CDTF">2026-03-06T19:57:37Z</dcterms:modified>
</cp:coreProperties>
</file>