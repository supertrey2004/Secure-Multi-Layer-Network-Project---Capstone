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C057F4F3-079F-407C-A7ED-684C066A23C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" i="1" l="1"/>
  <c r="O5" i="1"/>
  <c r="O4" i="1"/>
  <c r="O3" i="1"/>
  <c r="Q3" i="1" s="1"/>
  <c r="E21" i="1"/>
  <c r="Q12" i="1"/>
  <c r="Q10" i="1"/>
  <c r="Q11" i="1"/>
  <c r="P3" i="1"/>
  <c r="E71" i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P4" i="1" s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P9" i="1" l="1"/>
  <c r="O9" i="1" s="1"/>
  <c r="Q9" i="1" s="1"/>
  <c r="P8" i="1"/>
  <c r="O8" i="1" s="1"/>
  <c r="Q8" i="1" s="1"/>
  <c r="P7" i="1"/>
  <c r="O7" i="1" s="1"/>
  <c r="Q7" i="1" s="1"/>
  <c r="P6" i="1"/>
  <c r="Q6" i="1" s="1"/>
  <c r="P5" i="1"/>
  <c r="Q5" i="1" s="1"/>
  <c r="Q4" i="1"/>
  <c r="I3" i="1"/>
  <c r="H3" i="1" l="1"/>
  <c r="J3" i="1" s="1"/>
  <c r="K3" i="1" s="1"/>
</calcChain>
</file>

<file path=xl/sharedStrings.xml><?xml version="1.0" encoding="utf-8"?>
<sst xmlns="http://schemas.openxmlformats.org/spreadsheetml/2006/main" count="43" uniqueCount="17">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</sst>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20" dataDxfId="19">
  <autoFilter ref="A2:F75" xr:uid="{AECFD94D-BC69-43FE-8A1B-A8548D9C1CB8}"/>
  <tableColumns count="6">
    <tableColumn id="1" xr3:uid="{7D80F612-B207-4202-A1B2-4CDD0B31BE04}" name="Day" dataDxfId="18"/>
    <tableColumn id="2" xr3:uid="{809082CE-E596-42B5-B407-A4E321ECCB56}" name="Start" dataDxfId="17"/>
    <tableColumn id="3" xr3:uid="{387E5ED8-33C5-4EC7-A1F3-CE1B1DDAF190}" name="Stop" dataDxfId="16"/>
    <tableColumn id="6" xr3:uid="{F560E705-D838-45AE-BE0C-270C69667AC2}" name="Extra Mins" dataDxfId="15"/>
    <tableColumn id="4" xr3:uid="{A72F3DB0-D92C-4679-A812-253243311EF0}" name="Minutes " dataDxfId="14">
      <calculatedColumnFormula>IFERROR(MINUTE((Table1[[#This Row],[Stop]]-Table1[[#This Row],[Start]])),0)</calculatedColumnFormula>
    </tableColumn>
    <tableColumn id="5" xr3:uid="{CE4B143E-B608-48C4-8FCC-14B01E692DCB}" name="Hours" dataDxfId="13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12" dataDxfId="11">
  <autoFilter ref="H2:L3" xr:uid="{BCDE2B7C-F4D9-498C-BDF8-E77B124E5F78}"/>
  <tableColumns count="5">
    <tableColumn id="1" xr3:uid="{25609316-2FC7-4598-9816-D773B5ABDED5}" name="Total Minutes" dataDxfId="10">
      <calculatedColumnFormula>SUM(E:E) + (I3*60) + SUM(D:D)</calculatedColumnFormula>
    </tableColumn>
    <tableColumn id="2" xr3:uid="{C48BBBC8-9BDB-469A-A714-B3361A5491E0}" name="Total Hours" dataDxfId="9">
      <calculatedColumnFormula>SUM(F:F)</calculatedColumnFormula>
    </tableColumn>
    <tableColumn id="3" xr3:uid="{B3EDE8C1-FEE6-4401-BAF1-7A6A74F4FE86}" name="Hour Percent" dataDxfId="8">
      <calculatedColumnFormula>Table2[[#This Row],[Total Minutes]]/60</calculatedColumnFormula>
    </tableColumn>
    <tableColumn id="4" xr3:uid="{8FB2D23B-72D8-4504-BE1A-A47C565D5166}" name="Hours Met" dataDxfId="7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"/>
  <sheetViews>
    <sheetView tabSelected="1" topLeftCell="A19" workbookViewId="0">
      <selection activeCell="J29" sqref="J29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7502</v>
      </c>
      <c r="I3" s="6">
        <f>SUM(F:F)</f>
        <v>113</v>
      </c>
      <c r="J3" s="5">
        <f>Table2[[#This Row],[Total Minutes]]/60</f>
        <v>125.03333333333333</v>
      </c>
      <c r="K3" s="1" t="str">
        <f>IF(Table2[[#This Row],[Hour Percent]] &gt;= Table2[[#This Row],[Hours Needed]], "Hours have been met", "More hours needed")</f>
        <v>Hours have been met</v>
      </c>
      <c r="L3" s="1">
        <v>120</v>
      </c>
      <c r="N3" s="1">
        <v>1</v>
      </c>
      <c r="O3" s="6">
        <f>SUM(D3:E9) + (60*P3)</f>
        <v>606</v>
      </c>
      <c r="P3" s="6">
        <f>SUM(F3:F9)</f>
        <v>9</v>
      </c>
      <c r="Q3" s="5">
        <f>O3/60</f>
        <v>10.1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N4" s="1">
        <v>2</v>
      </c>
      <c r="O4" s="6">
        <f>SUM(D10:E16)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SUM(D17:E23) + (60*P5)</f>
        <v>1382</v>
      </c>
      <c r="P5" s="6">
        <f>SUM(F17:F23)</f>
        <v>22</v>
      </c>
      <c r="Q5" s="5">
        <f t="shared" ref="Q5:Q11" si="0">O5/60</f>
        <v>23.033333333333335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46070.703897916668</v>
      </c>
      <c r="I6" s="4">
        <f ca="1">NOW()</f>
        <v>46070.703897916668</v>
      </c>
      <c r="N6" s="1">
        <v>4</v>
      </c>
      <c r="O6" s="6">
        <f>SUM(D24:E30) + (60*P6)</f>
        <v>1421</v>
      </c>
      <c r="P6" s="6">
        <f>SUM(F24:F30)</f>
        <v>21</v>
      </c>
      <c r="Q6" s="5">
        <f t="shared" si="0"/>
        <v>23.683333333333334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>
        <f>SUM(D31:E37) + (60*P7)</f>
        <v>1323</v>
      </c>
      <c r="P7" s="6">
        <f>SUM(F31:F37)</f>
        <v>20</v>
      </c>
      <c r="Q7" s="5">
        <f t="shared" si="0"/>
        <v>22.05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>
        <f>SUM(D38:E44) + (60*P8)</f>
        <v>1370</v>
      </c>
      <c r="P8" s="6">
        <f>SUM(F38:F44)</f>
        <v>20</v>
      </c>
      <c r="Q8" s="5">
        <f t="shared" si="0"/>
        <v>22.833333333333332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>
        <f>SUM(D45:E51) + (60*P9)</f>
        <v>187</v>
      </c>
      <c r="P9" s="6">
        <f>SUM(F45:F51)</f>
        <v>3</v>
      </c>
      <c r="Q9" s="5">
        <f t="shared" si="0"/>
        <v>3.1166666666666667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/>
      <c r="P10" s="6"/>
      <c r="Q10" s="5">
        <f t="shared" si="0"/>
        <v>0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/>
      <c r="P11" s="6"/>
      <c r="Q11" s="5">
        <f t="shared" si="0"/>
        <v>0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/>
      <c r="P12" s="6"/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>
        <v>46042.495302777781</v>
      </c>
      <c r="C18" s="2">
        <v>46042.708460648151</v>
      </c>
      <c r="E18" s="5">
        <f>IFERROR(MINUTE((Table1[[#This Row],[Stop]]-Table1[[#This Row],[Start]])),0)</f>
        <v>6</v>
      </c>
      <c r="F18" s="5">
        <f>IFERROR(HOUR(Table1[[#This Row],[Stop]]-Table1[[#This Row],[Start]]),0)</f>
        <v>5</v>
      </c>
    </row>
    <row r="19" spans="1:6" x14ac:dyDescent="0.35">
      <c r="A19" s="7">
        <v>46043</v>
      </c>
      <c r="B19" s="2">
        <v>46043.495493981478</v>
      </c>
      <c r="C19" s="2">
        <v>46043.792025462964</v>
      </c>
      <c r="E19" s="5">
        <f>IFERROR(MINUTE((Table1[[#This Row],[Stop]]-Table1[[#This Row],[Start]])),0)</f>
        <v>7</v>
      </c>
      <c r="F19" s="5">
        <f>IFERROR(HOUR(Table1[[#This Row],[Stop]]-Table1[[#This Row],[Start]]),0)</f>
        <v>7</v>
      </c>
    </row>
    <row r="20" spans="1:6" x14ac:dyDescent="0.35">
      <c r="A20" s="7">
        <v>46044</v>
      </c>
      <c r="B20" s="2">
        <v>46044.593530092592</v>
      </c>
      <c r="C20" s="2">
        <v>46044.699271759258</v>
      </c>
      <c r="E20" s="5">
        <f>IFERROR(MINUTE((Table1[[#This Row],[Stop]]-Table1[[#This Row],[Start]])),0)</f>
        <v>32</v>
      </c>
      <c r="F20" s="5">
        <f>IFERROR(HOUR(Table1[[#This Row],[Stop]]-Table1[[#This Row],[Start]]),0)</f>
        <v>2</v>
      </c>
    </row>
    <row r="21" spans="1:6" x14ac:dyDescent="0.35">
      <c r="A21" s="7">
        <v>46045</v>
      </c>
      <c r="B21" s="2">
        <v>46045.56648645833</v>
      </c>
      <c r="C21" s="2">
        <v>46045.653171296297</v>
      </c>
      <c r="E21" s="5">
        <f>IFERROR(MINUTE((Table1[[#This Row],[Stop]]-Table1[[#This Row],[Start]])),0)</f>
        <v>4</v>
      </c>
      <c r="F21" s="5">
        <f>IFERROR(HOUR(Table1[[#This Row],[Stop]]-Table1[[#This Row],[Start]]),0)</f>
        <v>2</v>
      </c>
    </row>
    <row r="22" spans="1:6" x14ac:dyDescent="0.35">
      <c r="A22" s="7">
        <v>46046</v>
      </c>
      <c r="B22" s="2" t="s">
        <v>13</v>
      </c>
      <c r="C22" s="2" t="s">
        <v>13</v>
      </c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 t="s">
        <v>13</v>
      </c>
      <c r="C23" s="2" t="s">
        <v>13</v>
      </c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>
        <v>46048.520721759262</v>
      </c>
      <c r="C24" s="2">
        <v>46048.985324074078</v>
      </c>
      <c r="E24" s="5">
        <f>IFERROR(MINUTE((Table1[[#This Row],[Stop]]-Table1[[#This Row],[Start]])),0)</f>
        <v>9</v>
      </c>
      <c r="F24" s="5">
        <f>IFERROR(HOUR(Table1[[#This Row],[Stop]]-Table1[[#This Row],[Start]]),0)</f>
        <v>11</v>
      </c>
    </row>
    <row r="25" spans="1:6" x14ac:dyDescent="0.35">
      <c r="A25" s="7">
        <v>46049</v>
      </c>
      <c r="B25" s="2">
        <v>46049.583865740744</v>
      </c>
      <c r="C25" s="2">
        <v>46049.750069444446</v>
      </c>
      <c r="E25" s="5">
        <f>IFERROR(MINUTE((Table1[[#This Row],[Stop]]-Table1[[#This Row],[Start]])),0)</f>
        <v>59</v>
      </c>
      <c r="F25" s="5">
        <f>IFERROR(HOUR(Table1[[#This Row],[Stop]]-Table1[[#This Row],[Start]]),0)</f>
        <v>3</v>
      </c>
    </row>
    <row r="26" spans="1:6" x14ac:dyDescent="0.35">
      <c r="A26" s="7">
        <v>46050</v>
      </c>
      <c r="B26" s="2">
        <v>46050.504202662036</v>
      </c>
      <c r="C26" s="2">
        <v>46050.667615740742</v>
      </c>
      <c r="E26" s="5">
        <f>IFERROR(MINUTE((Table1[[#This Row],[Stop]]-Table1[[#This Row],[Start]])),0)</f>
        <v>55</v>
      </c>
      <c r="F26" s="5">
        <f>IFERROR(HOUR(Table1[[#This Row],[Stop]]-Table1[[#This Row],[Start]]),0)</f>
        <v>3</v>
      </c>
    </row>
    <row r="27" spans="1:6" x14ac:dyDescent="0.35">
      <c r="A27" s="7">
        <v>46051</v>
      </c>
      <c r="B27" s="2">
        <v>46051.575492939817</v>
      </c>
      <c r="C27" s="2">
        <v>46051.715775462966</v>
      </c>
      <c r="E27" s="5">
        <f>IFERROR(MINUTE((Table1[[#This Row],[Stop]]-Table1[[#This Row],[Start]])),0)</f>
        <v>22</v>
      </c>
      <c r="F27" s="5">
        <f>IFERROR(HOUR(Table1[[#This Row],[Stop]]-Table1[[#This Row],[Start]]),0)</f>
        <v>3</v>
      </c>
    </row>
    <row r="28" spans="1:6" x14ac:dyDescent="0.35">
      <c r="A28" s="7">
        <v>46052</v>
      </c>
      <c r="B28" s="2">
        <v>46052.52367696759</v>
      </c>
      <c r="C28" s="2">
        <v>46052.57707175926</v>
      </c>
      <c r="E28" s="5">
        <f>IFERROR(MINUTE((Table1[[#This Row],[Stop]]-Table1[[#This Row],[Start]])),0)</f>
        <v>16</v>
      </c>
      <c r="F28" s="5">
        <f>IFERROR(HOUR(Table1[[#This Row],[Stop]]-Table1[[#This Row],[Start]]),0)</f>
        <v>1</v>
      </c>
    </row>
    <row r="29" spans="1:6" x14ac:dyDescent="0.35">
      <c r="A29" s="7">
        <v>46053</v>
      </c>
      <c r="B29" s="2" t="s">
        <v>13</v>
      </c>
      <c r="C29" s="2" t="s">
        <v>13</v>
      </c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 t="s">
        <v>13</v>
      </c>
      <c r="C30" s="2" t="s">
        <v>13</v>
      </c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>
        <v>46055.511829745374</v>
      </c>
      <c r="C31" s="2">
        <v>46055.604791666665</v>
      </c>
      <c r="D31" s="5">
        <v>10</v>
      </c>
      <c r="E31" s="5">
        <f>IFERROR(MINUTE((Table1[[#This Row],[Stop]]-Table1[[#This Row],[Start]])),0)</f>
        <v>13</v>
      </c>
      <c r="F31" s="5">
        <f>IFERROR(HOUR(Table1[[#This Row],[Stop]]-Table1[[#This Row],[Start]]),0)</f>
        <v>2</v>
      </c>
    </row>
    <row r="32" spans="1:6" x14ac:dyDescent="0.35">
      <c r="A32" s="7">
        <v>46056</v>
      </c>
      <c r="B32" s="2">
        <v>46056.580678124999</v>
      </c>
      <c r="C32" s="2">
        <v>46056.75068287037</v>
      </c>
      <c r="E32" s="5">
        <f>IFERROR(MINUTE((Table1[[#This Row],[Stop]]-Table1[[#This Row],[Start]])),0)</f>
        <v>4</v>
      </c>
      <c r="F32" s="5">
        <f>IFERROR(HOUR(Table1[[#This Row],[Stop]]-Table1[[#This Row],[Start]]),0)</f>
        <v>4</v>
      </c>
    </row>
    <row r="33" spans="1:6" x14ac:dyDescent="0.35">
      <c r="A33" s="7">
        <v>46057</v>
      </c>
      <c r="B33" s="2">
        <v>46057.535749884257</v>
      </c>
      <c r="C33" s="2">
        <v>46057.688575</v>
      </c>
      <c r="E33" s="5">
        <f>IFERROR(MINUTE((Table1[[#This Row],[Stop]]-Table1[[#This Row],[Start]])),0)</f>
        <v>40</v>
      </c>
      <c r="F33" s="5">
        <f>IFERROR(HOUR(Table1[[#This Row],[Stop]]-Table1[[#This Row],[Start]]),0)</f>
        <v>3</v>
      </c>
    </row>
    <row r="34" spans="1:6" x14ac:dyDescent="0.35">
      <c r="A34" s="7">
        <v>46058</v>
      </c>
      <c r="B34" s="2">
        <v>46058.569537037038</v>
      </c>
      <c r="C34" s="2">
        <v>46058.958425925928</v>
      </c>
      <c r="E34" s="5">
        <f>IFERROR(MINUTE((Table1[[#This Row],[Stop]]-Table1[[#This Row],[Start]])),0)</f>
        <v>20</v>
      </c>
      <c r="F34" s="5">
        <f>IFERROR(HOUR(Table1[[#This Row],[Stop]]-Table1[[#This Row],[Start]]),0)</f>
        <v>9</v>
      </c>
    </row>
    <row r="35" spans="1:6" x14ac:dyDescent="0.35">
      <c r="A35" s="7">
        <v>46059</v>
      </c>
      <c r="B35" s="2">
        <v>46059.513006597219</v>
      </c>
      <c r="C35" s="2">
        <v>46059.61440972222</v>
      </c>
      <c r="D35" s="5">
        <v>10</v>
      </c>
      <c r="E35" s="5">
        <f>IFERROR(MINUTE((Table1[[#This Row],[Stop]]-Table1[[#This Row],[Start]])),0)</f>
        <v>26</v>
      </c>
      <c r="F35" s="5">
        <f>IFERROR(HOUR(Table1[[#This Row],[Stop]]-Table1[[#This Row],[Start]]),0)</f>
        <v>2</v>
      </c>
    </row>
    <row r="36" spans="1:6" x14ac:dyDescent="0.35">
      <c r="A36" s="7">
        <v>46060</v>
      </c>
      <c r="B36" s="2" t="s">
        <v>13</v>
      </c>
      <c r="C36" s="2" t="s">
        <v>13</v>
      </c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 t="s">
        <v>13</v>
      </c>
      <c r="C37" s="2" t="s">
        <v>13</v>
      </c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>
        <v>46062.532546527778</v>
      </c>
      <c r="C38" s="2">
        <v>46062.587678587966</v>
      </c>
      <c r="E38" s="5">
        <f>IFERROR(MINUTE((Table1[[#This Row],[Stop]]-Table1[[#This Row],[Start]])),0)</f>
        <v>19</v>
      </c>
      <c r="F38" s="5">
        <f>IFERROR(HOUR(Table1[[#This Row],[Stop]]-Table1[[#This Row],[Start]]),0)</f>
        <v>1</v>
      </c>
    </row>
    <row r="39" spans="1:6" x14ac:dyDescent="0.35">
      <c r="A39" s="7">
        <v>46063</v>
      </c>
      <c r="B39" s="2">
        <v>46063.570104166669</v>
      </c>
      <c r="C39" s="2">
        <v>46063.769618055558</v>
      </c>
      <c r="E39" s="5">
        <f>IFERROR(MINUTE((Table1[[#This Row],[Stop]]-Table1[[#This Row],[Start]])),0)</f>
        <v>47</v>
      </c>
      <c r="F39" s="5">
        <f>IFERROR(HOUR(Table1[[#This Row],[Stop]]-Table1[[#This Row],[Start]]),0)</f>
        <v>4</v>
      </c>
    </row>
    <row r="40" spans="1:6" x14ac:dyDescent="0.35">
      <c r="A40" s="7">
        <v>46064</v>
      </c>
      <c r="B40" s="2">
        <v>46064.534594907411</v>
      </c>
      <c r="C40" s="2">
        <v>46064.625451388885</v>
      </c>
      <c r="E40" s="5">
        <f>IFERROR(MINUTE((Table1[[#This Row],[Stop]]-Table1[[#This Row],[Start]])),0)</f>
        <v>10</v>
      </c>
      <c r="F40" s="5">
        <f>IFERROR(HOUR(Table1[[#This Row],[Stop]]-Table1[[#This Row],[Start]]),0)</f>
        <v>2</v>
      </c>
    </row>
    <row r="41" spans="1:6" x14ac:dyDescent="0.35">
      <c r="A41" s="7">
        <v>46065</v>
      </c>
      <c r="B41" s="2">
        <v>46065.555194328706</v>
      </c>
      <c r="C41" s="2">
        <v>46065.745251388886</v>
      </c>
      <c r="E41" s="5">
        <f>IFERROR(MINUTE((Table1[[#This Row],[Stop]]-Table1[[#This Row],[Start]])),0)</f>
        <v>33</v>
      </c>
      <c r="F41" s="5">
        <f>IFERROR(HOUR(Table1[[#This Row],[Stop]]-Table1[[#This Row],[Start]]),0)</f>
        <v>4</v>
      </c>
    </row>
    <row r="42" spans="1:6" x14ac:dyDescent="0.35">
      <c r="A42" s="7">
        <v>46066</v>
      </c>
      <c r="B42" s="2">
        <v>46066.568680555552</v>
      </c>
      <c r="C42" s="2">
        <v>46066.976203703707</v>
      </c>
      <c r="D42" s="5">
        <v>15</v>
      </c>
      <c r="E42" s="5">
        <f>IFERROR(MINUTE((Table1[[#This Row],[Stop]]-Table1[[#This Row],[Start]])),0)</f>
        <v>46</v>
      </c>
      <c r="F42" s="5">
        <f>IFERROR(HOUR(Table1[[#This Row],[Stop]]-Table1[[#This Row],[Start]]),0)</f>
        <v>9</v>
      </c>
    </row>
    <row r="43" spans="1:6" x14ac:dyDescent="0.35">
      <c r="A43" s="7">
        <v>46067</v>
      </c>
      <c r="B43" s="2" t="s">
        <v>13</v>
      </c>
      <c r="C43" s="2" t="s">
        <v>13</v>
      </c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 t="s">
        <v>13</v>
      </c>
      <c r="C44" s="2" t="s">
        <v>13</v>
      </c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 t="s">
        <v>13</v>
      </c>
      <c r="C45" s="2" t="s">
        <v>13</v>
      </c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>
        <v>46070.578633564815</v>
      </c>
      <c r="C46" s="2">
        <v>46070.708599537036</v>
      </c>
      <c r="E46" s="5">
        <f>IFERROR(MINUTE((Table1[[#This Row],[Stop]]-Table1[[#This Row],[Start]])),0)</f>
        <v>7</v>
      </c>
      <c r="F46" s="5">
        <f>IFERROR(HOUR(Table1[[#This Row],[Stop]]-Table1[[#This Row],[Start]]),0)</f>
        <v>3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2026-02-17T23:53:42Z</dcterms:modified>
</cp:coreProperties>
</file>