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77982D9E-CEB2-4FFC-869D-5AE68D92A0C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" i="1" l="1"/>
  <c r="E56" i="1"/>
  <c r="E54" i="1"/>
  <c r="E70" i="1"/>
  <c r="F70" i="1"/>
  <c r="E71" i="1"/>
  <c r="F71" i="1"/>
  <c r="E72" i="1"/>
  <c r="F72" i="1"/>
  <c r="F49" i="1"/>
  <c r="E48" i="1"/>
  <c r="E21" i="1"/>
  <c r="P3" i="1"/>
  <c r="O3" i="1" s="1"/>
  <c r="Q3" i="1" s="1"/>
  <c r="E69" i="1"/>
  <c r="E58" i="1"/>
  <c r="F58" i="1"/>
  <c r="E59" i="1"/>
  <c r="F59" i="1"/>
  <c r="E60" i="1"/>
  <c r="F60" i="1"/>
  <c r="E61" i="1"/>
  <c r="F61" i="1"/>
  <c r="E62" i="1"/>
  <c r="F62" i="1"/>
  <c r="E64" i="1"/>
  <c r="F64" i="1"/>
  <c r="E65" i="1"/>
  <c r="F65" i="1"/>
  <c r="E66" i="1"/>
  <c r="F66" i="1"/>
  <c r="P12" i="1" s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5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7" i="1"/>
  <c r="I6" i="1"/>
  <c r="H6" i="1"/>
  <c r="F63" i="1" l="1"/>
  <c r="O12" i="1"/>
  <c r="Q12" i="1" s="1"/>
  <c r="P11" i="1"/>
  <c r="O11" i="1" s="1"/>
  <c r="Q11" i="1" s="1"/>
  <c r="P4" i="1"/>
  <c r="O4" i="1" s="1"/>
  <c r="F56" i="1"/>
  <c r="F54" i="1"/>
  <c r="P10" i="1" s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P5" i="1"/>
  <c r="Q4" i="1"/>
  <c r="O5" i="1" l="1"/>
  <c r="Q5" i="1" s="1"/>
  <c r="O6" i="1"/>
  <c r="Q6" i="1" s="1"/>
  <c r="I3" i="1"/>
  <c r="H3" i="1" s="1"/>
  <c r="J3" i="1" s="1"/>
  <c r="Q9" i="1"/>
  <c r="K3" i="1" l="1"/>
  <c r="K4" i="1" a="1"/>
  <c r="K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<sst xmlns="http://schemas.openxmlformats.org/spreadsheetml/2006/main" count="51" uniqueCount="17">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</sst>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6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2" totalsRowShown="0" headerRowDxfId="25" dataDxfId="24">
  <autoFilter ref="A2:F72" xr:uid="{AECFD94D-BC69-43FE-8A1B-A8548D9C1CB8}"/>
  <tableColumns count="6">
    <tableColumn id="1" xr3:uid="{7D80F612-B207-4202-A1B2-4CDD0B31BE04}" name="Day" dataDxfId="23"/>
    <tableColumn id="2" xr3:uid="{809082CE-E596-42B5-B407-A4E321ECCB56}" name="Start" dataDxfId="22"/>
    <tableColumn id="3" xr3:uid="{387E5ED8-33C5-4EC7-A1F3-CE1B1DDAF190}" name="Stop" dataDxfId="21"/>
    <tableColumn id="6" xr3:uid="{F560E705-D838-45AE-BE0C-270C69667AC2}" name="Extra Mins" dataDxfId="20"/>
    <tableColumn id="4" xr3:uid="{A72F3DB0-D92C-4679-A812-253243311EF0}" name="Minutes " dataDxfId="19">
      <calculatedColumnFormula>IFERROR(MINUTE((Table1[[#This Row],[Stop]]-Table1[[#This Row],[Start]])),0)</calculatedColumnFormula>
    </tableColumn>
    <tableColumn id="5" xr3:uid="{CE4B143E-B608-48C4-8FCC-14B01E692DCB}" name="Hours" dataDxfId="18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4" totalsRowCount="1" headerRowDxfId="17" dataDxfId="16">
  <autoFilter ref="H2:L3" xr:uid="{BCDE2B7C-F4D9-498C-BDF8-E77B124E5F78}"/>
  <tableColumns count="5">
    <tableColumn id="1" xr3:uid="{25609316-2FC7-4598-9816-D773B5ABDED5}" name="Total Minutes" dataDxfId="15" totalsRowDxfId="14">
      <calculatedColumnFormula>SUM(E:E) + (I3*60) + SUM(D:D)</calculatedColumnFormula>
    </tableColumn>
    <tableColumn id="2" xr3:uid="{C48BBBC8-9BDB-469A-A714-B3361A5491E0}" name="Total Hours" dataDxfId="13" totalsRowDxfId="12">
      <calculatedColumnFormula>SUM(F:F)</calculatedColumnFormula>
    </tableColumn>
    <tableColumn id="3" xr3:uid="{B3EDE8C1-FEE6-4401-BAF1-7A6A74F4FE86}" name="Hour Percent" dataDxfId="11" totalsRowDxfId="10">
      <calculatedColumnFormula>Table2[[#This Row],[Total Minutes]]/60</calculatedColumnFormula>
    </tableColumn>
    <tableColumn id="4" xr3:uid="{8FB2D23B-72D8-4504-BE1A-A47C565D5166}" name="Hours Met" totalsRowFunction="custom" dataDxfId="9" totalsRowDxfId="8">
      <calculatedColumnFormula>IF(Table2[[#This Row],[Hour Percent]] &gt;= Table2[[#This Row],[Hours Needed]], "Hours have been met", "More hours needed")</calculatedColumnFormula>
      <totalsRowFormula array="1">Table2[Hours Needed]-Table2[Hour Percent]</totalsRowFormula>
    </tableColumn>
    <tableColumn id="5" xr3:uid="{643AEBD5-F2A2-4877-923F-2A6F10830FA5}" name="Hours Needed" dataDxfId="7" totalsRow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workbookViewId="0">
      <selection activeCell="I62" sqref="I62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12020</v>
      </c>
      <c r="I3" s="6">
        <f>SUM(F:F)</f>
        <v>178</v>
      </c>
      <c r="J3" s="5">
        <f>Table2[[#This Row],[Total Minutes]]/60</f>
        <v>200.33333333333334</v>
      </c>
      <c r="K3" s="1" t="str">
        <f>IF(Table2[[#This Row],[Hour Percent]] &gt;= Table2[[#This Row],[Hours Needed]], "Hours have been met", "More hours needed")</f>
        <v>Hours have been met</v>
      </c>
      <c r="L3" s="1">
        <v>200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I4" s="6"/>
      <c r="J4" s="5"/>
      <c r="K4" s="5" cm="1">
        <f t="array" ref="K4">Table2[Hours Needed]-Table2[Hour Percent]</f>
        <v>-0.33333333333334281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46091.560033796297</v>
      </c>
      <c r="I6" s="4">
        <f ca="1">NOW()</f>
        <v>46091.560033796297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>SUM(D52:E58) + (60*P10)</f>
        <v>1857</v>
      </c>
      <c r="P10" s="6">
        <f>SUM(F52:F58)</f>
        <v>28</v>
      </c>
      <c r="Q10" s="5">
        <f t="shared" si="0"/>
        <v>30.95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>
        <f>SUM(D59:E65) + (60*P11)</f>
        <v>1380</v>
      </c>
      <c r="P11" s="6">
        <f>SUM(F59:F65)</f>
        <v>19</v>
      </c>
      <c r="Q11" s="5">
        <f t="shared" si="0"/>
        <v>23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>
        <f>SUM(D66:E72) + (60*P12)</f>
        <v>90</v>
      </c>
      <c r="P12" s="6">
        <f>SUM(F66:F72)</f>
        <v>1</v>
      </c>
      <c r="Q12" s="5">
        <f>O12/60</f>
        <v>1.5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2">
        <v>46078.542256944442</v>
      </c>
      <c r="E54" s="5">
        <f>IFERROR(MINUTE((Table1[[#This Row],[Stop]]-Table1[[#This Row],[Start]])),0)</f>
        <v>43</v>
      </c>
      <c r="F54" s="5">
        <f>IFERROR(HOUR(Table1[[#This Row],[Stop]]-Table1[[#This Row],[Start]]),0)</f>
        <v>1</v>
      </c>
    </row>
    <row r="55" spans="1:6" x14ac:dyDescent="0.35">
      <c r="A55" s="7">
        <v>46079</v>
      </c>
      <c r="B55" s="2">
        <v>46079.585710995372</v>
      </c>
      <c r="C55" s="2">
        <v>46079.999594907407</v>
      </c>
      <c r="E55" s="5">
        <f>IFERROR(MINUTE((Table1[[#This Row],[Stop]]-Table1[[#This Row],[Start]])),0)</f>
        <v>56</v>
      </c>
      <c r="F55" s="5">
        <f>IFERROR(HOUR(Table1[[#This Row],[Stop]]-Table1[[#This Row],[Start]]),0)</f>
        <v>9</v>
      </c>
    </row>
    <row r="56" spans="1:6" x14ac:dyDescent="0.35">
      <c r="A56" s="7">
        <v>46080</v>
      </c>
      <c r="B56" s="4">
        <v>46080.583541666667</v>
      </c>
      <c r="C56" s="2">
        <v>46080.607357291665</v>
      </c>
      <c r="E56" s="5">
        <f>IFERROR(MINUTE((Table1[[#This Row],[Stop]]-Table1[[#This Row],[Start]])),0)</f>
        <v>34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 t="s">
        <v>13</v>
      </c>
      <c r="C57" s="2" t="s">
        <v>13</v>
      </c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 t="s">
        <v>13</v>
      </c>
      <c r="C58" s="2" t="s">
        <v>13</v>
      </c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4">
        <v>46083.590872106484</v>
      </c>
      <c r="C59" s="4">
        <v>46083.715868055559</v>
      </c>
      <c r="D59" s="5">
        <v>30</v>
      </c>
      <c r="E59" s="5">
        <f>IFERROR(MINUTE((Table1[[#This Row],[Stop]]-Table1[[#This Row],[Start]])),0)</f>
        <v>0</v>
      </c>
      <c r="F59" s="5">
        <f>IFERROR(HOUR(Table1[[#This Row],[Stop]]-Table1[[#This Row],[Start]]),0)</f>
        <v>3</v>
      </c>
    </row>
    <row r="60" spans="1:6" x14ac:dyDescent="0.35">
      <c r="A60" s="7">
        <v>46084</v>
      </c>
      <c r="B60" s="4">
        <v>46084.619406018515</v>
      </c>
      <c r="C60" s="4">
        <v>46085.042326388888</v>
      </c>
      <c r="E60" s="5">
        <f>IFERROR(MINUTE((Table1[[#This Row],[Stop]]-Table1[[#This Row],[Start]])),0)</f>
        <v>9</v>
      </c>
      <c r="F60" s="5">
        <f>IFERROR(HOUR(Table1[[#This Row],[Stop]]-Table1[[#This Row],[Start]]),0)</f>
        <v>10</v>
      </c>
    </row>
    <row r="61" spans="1:6" x14ac:dyDescent="0.35">
      <c r="A61" s="7">
        <v>46085</v>
      </c>
      <c r="B61" s="2">
        <v>46085.573803009262</v>
      </c>
      <c r="C61" s="2">
        <v>46085.633039236112</v>
      </c>
      <c r="D61" s="5">
        <v>5</v>
      </c>
      <c r="E61" s="5">
        <f>IFERROR(MINUTE((Table1[[#This Row],[Stop]]-Table1[[#This Row],[Start]])),0)</f>
        <v>25</v>
      </c>
      <c r="F61" s="5">
        <f>IFERROR(HOUR(Table1[[#This Row],[Stop]]-Table1[[#This Row],[Start]]),0)</f>
        <v>1</v>
      </c>
    </row>
    <row r="62" spans="1:6" x14ac:dyDescent="0.35">
      <c r="A62" s="7">
        <v>46086</v>
      </c>
      <c r="B62" s="2">
        <v>46086.591332523145</v>
      </c>
      <c r="C62" s="2">
        <v>46086.709502314814</v>
      </c>
      <c r="E62" s="5">
        <f>IFERROR(MINUTE((Table1[[#This Row],[Stop]]-Table1[[#This Row],[Start]])),0)</f>
        <v>50</v>
      </c>
      <c r="F62" s="5">
        <f>IFERROR(HOUR(Table1[[#This Row],[Stop]]-Table1[[#This Row],[Start]]),0)</f>
        <v>2</v>
      </c>
    </row>
    <row r="63" spans="1:6" x14ac:dyDescent="0.35">
      <c r="A63" s="7">
        <v>46087</v>
      </c>
      <c r="B63" s="4">
        <v>46087.4624744213</v>
      </c>
      <c r="C63" s="2">
        <v>46087.539856597221</v>
      </c>
      <c r="D63" s="5">
        <v>10</v>
      </c>
      <c r="E63" s="5">
        <f>IFERROR(MINUTE((Table1[[#This Row],[Stop]]-Table1[[#This Row],[Start]])),0)</f>
        <v>51</v>
      </c>
      <c r="F63" s="5">
        <f>IFERROR(HOUR(Table1[[#This Row],[Stop]]-Table1[[#This Row],[Start]]),0)</f>
        <v>1</v>
      </c>
    </row>
    <row r="64" spans="1:6" x14ac:dyDescent="0.35">
      <c r="A64" s="7">
        <v>46088</v>
      </c>
      <c r="B64" s="2">
        <v>46088.583611111113</v>
      </c>
      <c r="C64" s="2">
        <v>46088.646111111113</v>
      </c>
      <c r="E64" s="5">
        <f>IFERROR(MINUTE((Table1[[#This Row],[Stop]]-Table1[[#This Row],[Start]])),0)</f>
        <v>30</v>
      </c>
      <c r="F64" s="5">
        <f>IFERROR(HOUR(Table1[[#This Row],[Stop]]-Table1[[#This Row],[Start]]),0)</f>
        <v>1</v>
      </c>
    </row>
    <row r="65" spans="1:6" x14ac:dyDescent="0.35">
      <c r="A65" s="7">
        <v>46089</v>
      </c>
      <c r="B65" s="2">
        <v>46089.583611111113</v>
      </c>
      <c r="C65" s="2">
        <v>46089.646111111113</v>
      </c>
      <c r="E65" s="5">
        <f>IFERROR(MINUTE((Table1[[#This Row],[Stop]]-Table1[[#This Row],[Start]])),0)</f>
        <v>30</v>
      </c>
      <c r="F65" s="5">
        <f>IFERROR(HOUR(Table1[[#This Row],[Stop]]-Table1[[#This Row],[Start]]),0)</f>
        <v>1</v>
      </c>
    </row>
    <row r="66" spans="1:6" x14ac:dyDescent="0.35">
      <c r="A66" s="7">
        <v>46090</v>
      </c>
      <c r="B66" s="2">
        <v>46090.583611111113</v>
      </c>
      <c r="C66" s="2">
        <v>46090.646111111113</v>
      </c>
      <c r="E66" s="5">
        <f>IFERROR(MINUTE((Table1[[#This Row],[Stop]]-Table1[[#This Row],[Start]])),0)</f>
        <v>30</v>
      </c>
      <c r="F66" s="5">
        <f>IFERROR(HOUR(Table1[[#This Row],[Stop]]-Table1[[#This Row],[Start]]),0)</f>
        <v>1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2026-03-10T19:26:34Z</dcterms:modified>
</cp:coreProperties>
</file>