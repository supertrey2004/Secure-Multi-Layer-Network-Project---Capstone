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59073C80-37DC-4DBA-8E1C-3802BA7F009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O6" i="1"/>
  <c r="Q6" i="1" s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<sst xmlns="http://schemas.openxmlformats.org/spreadsheetml/2006/main" count="25" uniqueCount="17">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</sst>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19" sqref="C1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2498</v>
      </c>
      <c r="I3" s="6">
        <f>SUM(F:F)</f>
        <v>38</v>
      </c>
      <c r="J3" s="5">
        <f>Table2[[#This Row],[Total Minutes]]/60</f>
        <v>41.633333333333333</v>
      </c>
      <c r="K3" s="1" t="str">
        <f>IF(Table2[[#This Row],[Hour Percent]] &gt;= Table2[[#This Row],[Hours Needed]], "Hours have been met", "More hours needed")</f>
        <v>Hours have been met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679</v>
      </c>
      <c r="P5" s="6">
        <f>SUM(F17:F23)</f>
        <v>11</v>
      </c>
      <c r="Q5" s="5">
        <f t="shared" ref="Q5:Q11" si="0">O5/60</f>
        <v>11.316666666666666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46043.496378703705</v>
      </c>
      <c r="I6" s="4">
        <f ca="1">NOW()</f>
        <v>46043.496378703705</v>
      </c>
      <c r="N6" s="1">
        <v>4</v>
      </c>
      <c r="O6" s="6">
        <f>SUM(E24:E30) + (60*P6)</f>
        <v>0</v>
      </c>
      <c r="P6" s="6">
        <f>SUM(F24:F30)</f>
        <v>0</v>
      </c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2026-01-21T18:55:58Z</dcterms:modified>
</cp:coreProperties>
</file>