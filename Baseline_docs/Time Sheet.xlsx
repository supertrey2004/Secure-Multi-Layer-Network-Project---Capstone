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75EA89F1-B753-4CFD-BDB7-D729D01B907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9" i="1" l="1"/>
  <c r="P8" i="1"/>
  <c r="O8" i="1" s="1"/>
  <c r="Q8" i="1" s="1"/>
  <c r="P7" i="1"/>
  <c r="O7" i="1" s="1"/>
  <c r="Q7" i="1" s="1"/>
  <c r="P6" i="1"/>
  <c r="Q6" i="1" s="1"/>
  <c r="P5" i="1"/>
  <c r="Q5" i="1" s="1"/>
  <c r="Q4" i="1"/>
  <c r="I3" i="1"/>
  <c r="O9" i="1" l="1"/>
  <c r="Q9" i="1" s="1"/>
  <c r="H3" i="1"/>
  <c r="J3" i="1" s="1"/>
  <c r="K3" i="1" s="1"/>
</calcChain>
</file>

<file path=xl/sharedStrings.xml><?xml version="1.0" encoding="utf-8"?>
<sst xmlns="http://schemas.openxmlformats.org/spreadsheetml/2006/main" count="45" uniqueCount="17">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</sst>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Q10" sqref="Q9:Q10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 ca="1">SUM(E:E) + (I3*60) + SUM(D:D)</f>
        <v>7685</v>
      </c>
      <c r="I3" s="6">
        <f ca="1">SUM(F:F)</f>
        <v>115</v>
      </c>
      <c r="J3" s="5">
        <f ca="1">Table2[[#This Row],[Total Minutes]]/60</f>
        <v>128.08333333333334</v>
      </c>
      <c r="K3" s="1" t="str">
        <f ca="1">IF(Table2[[#This Row],[Hour Percent]] &gt;= Table2[[#This Row],[Hours Needed]], "Hours have been met", "More hours needed")</f>
        <v>More hours needed</v>
      </c>
      <c r="L3" s="1">
        <v>140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46072.710983680554</v>
      </c>
      <c r="I6" s="4">
        <f ca="1">NOW()</f>
        <v>46072.710983680554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 ca="1">SUM(D45:E51) + (60*P9)</f>
        <v>370</v>
      </c>
      <c r="P9" s="6">
        <f ca="1">SUM(F45:F51)</f>
        <v>5</v>
      </c>
      <c r="Q9" s="5">
        <f t="shared" ca="1" si="0"/>
        <v>6.166666666666667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4">
        <f ca="1">NOW()</f>
        <v>46072.710983680554</v>
      </c>
      <c r="E48" s="5">
        <f ca="1">IFERROR(MINUTE((Table1[[#This Row],[Stop]]-Table1[[#This Row],[Start]])),0)</f>
        <v>3</v>
      </c>
      <c r="F48" s="5">
        <f ca="1">IFERROR(HOUR(Table1[[#This Row],[Stop]]-Table1[[#This Row],[Start]]),0)</f>
        <v>2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2026-02-20T00:05:19Z</dcterms:modified>
</cp:coreProperties>
</file>