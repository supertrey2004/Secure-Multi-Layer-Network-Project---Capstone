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433528D9-1139-4695-A59A-B04A46B7EAF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" i="1" l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I3" i="1" l="1"/>
  <c r="H3" i="1" s="1"/>
  <c r="J3" i="1" s="1"/>
  <c r="K3" i="1" s="1"/>
</calcChain>
</file>

<file path=xl/sharedStrings.xml><?xml version="1.0" encoding="utf-8"?>
<sst xmlns="http://schemas.openxmlformats.org/spreadsheetml/2006/main" count="17" uniqueCount="14">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</sst>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5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14" dataDxfId="13">
  <autoFilter ref="A2:F75" xr:uid="{AECFD94D-BC69-43FE-8A1B-A8548D9C1CB8}"/>
  <tableColumns count="6">
    <tableColumn id="1" xr3:uid="{7D80F612-B207-4202-A1B2-4CDD0B31BE04}" name="Day" dataDxfId="12"/>
    <tableColumn id="2" xr3:uid="{809082CE-E596-42B5-B407-A4E321ECCB56}" name="Start" dataDxfId="11"/>
    <tableColumn id="3" xr3:uid="{387E5ED8-33C5-4EC7-A1F3-CE1B1DDAF190}" name="Stop" dataDxfId="10"/>
    <tableColumn id="6" xr3:uid="{F560E705-D838-45AE-BE0C-270C69667AC2}" name="Extra Mins" dataDxfId="9"/>
    <tableColumn id="4" xr3:uid="{A72F3DB0-D92C-4679-A812-253243311EF0}" name="Minutes " dataDxfId="8">
      <calculatedColumnFormula>IFERROR(MINUTE((Table1[[#This Row],[Stop]]-Table1[[#This Row],[Start]])),0)</calculatedColumnFormula>
    </tableColumn>
    <tableColumn id="5" xr3:uid="{CE4B143E-B608-48C4-8FCC-14B01E692DCB}" name="Hours" dataDxfId="7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6" dataDxfId="5">
  <autoFilter ref="H2:L3" xr:uid="{BCDE2B7C-F4D9-498C-BDF8-E77B124E5F78}"/>
  <tableColumns count="5">
    <tableColumn id="1" xr3:uid="{25609316-2FC7-4598-9816-D773B5ABDED5}" name="Total Minutes" dataDxfId="4">
      <calculatedColumnFormula>SUM(E:E) + (I3*60) + SUM(D:D)</calculatedColumnFormula>
    </tableColumn>
    <tableColumn id="2" xr3:uid="{C48BBBC8-9BDB-469A-A714-B3361A5491E0}" name="Total Hours" dataDxfId="3">
      <calculatedColumnFormula>SUM(F:F)</calculatedColumnFormula>
    </tableColumn>
    <tableColumn id="3" xr3:uid="{B3EDE8C1-FEE6-4401-BAF1-7A6A74F4FE86}" name="Hour Percent" dataDxfId="2">
      <calculatedColumnFormula>Table2[[#This Row],[Total Minutes]]/60</calculatedColumnFormula>
    </tableColumn>
    <tableColumn id="4" xr3:uid="{8FB2D23B-72D8-4504-BE1A-A47C565D5166}" name="Hours Met" dataDxfId="1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5"/>
  <sheetViews>
    <sheetView tabSelected="1" workbookViewId="0">
      <selection activeCell="J9" sqref="J9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6384" width="13.81640625" style="1"/>
  </cols>
  <sheetData>
    <row r="1" spans="1:12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2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</row>
    <row r="3" spans="1:12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606</v>
      </c>
      <c r="I3" s="6">
        <f>SUM(F:F)</f>
        <v>9</v>
      </c>
      <c r="J3" s="5">
        <f>Table2[[#This Row],[Total Minutes]]/60</f>
        <v>10.1</v>
      </c>
      <c r="K3" s="1" t="str">
        <f>IF(Table2[[#This Row],[Hour Percent]] &gt;= Table2[[#This Row],[Hours Needed]], "Hours have been met", "More hours needed")</f>
        <v>More hours needed</v>
      </c>
      <c r="L3" s="1">
        <v>200</v>
      </c>
    </row>
    <row r="4" spans="1:12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</row>
    <row r="5" spans="1:12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</row>
    <row r="6" spans="1:12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46031.62400787037</v>
      </c>
      <c r="I6" s="4">
        <f ca="1">NOW()</f>
        <v>46031.62400787037</v>
      </c>
    </row>
    <row r="7" spans="1:12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</row>
    <row r="8" spans="1:12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</row>
    <row r="9" spans="1:12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</row>
    <row r="10" spans="1:12" x14ac:dyDescent="0.35">
      <c r="A10" s="7">
        <v>46034</v>
      </c>
      <c r="B10" s="2"/>
      <c r="C10" s="2"/>
      <c r="E10" s="5">
        <f>IFERROR(MINUTE((Table1[[#This Row],[Stop]]-Table1[[#This Row],[Start]])),0)</f>
        <v>0</v>
      </c>
      <c r="F10" s="5">
        <f>IFERROR(HOUR(Table1[[#This Row],[Stop]]-Table1[[#This Row],[Start]]),0)</f>
        <v>0</v>
      </c>
    </row>
    <row r="11" spans="1:12" x14ac:dyDescent="0.35">
      <c r="A11" s="7">
        <v>46035</v>
      </c>
      <c r="B11" s="2"/>
      <c r="C11" s="2"/>
      <c r="E11" s="5">
        <f>IFERROR(MINUTE((Table1[[#This Row],[Stop]]-Table1[[#This Row],[Start]])),0)</f>
        <v>0</v>
      </c>
      <c r="F11" s="5">
        <f>IFERROR(HOUR(Table1[[#This Row],[Stop]]-Table1[[#This Row],[Start]]),0)</f>
        <v>0</v>
      </c>
    </row>
    <row r="12" spans="1:12" x14ac:dyDescent="0.35">
      <c r="A12" s="7">
        <v>46036</v>
      </c>
      <c r="B12" s="2"/>
      <c r="C12" s="2"/>
      <c r="E12" s="5">
        <f>IFERROR(MINUTE((Table1[[#This Row],[Stop]]-Table1[[#This Row],[Start]])),0)</f>
        <v>0</v>
      </c>
      <c r="F12" s="5">
        <f>IFERROR(HOUR(Table1[[#This Row],[Stop]]-Table1[[#This Row],[Start]]),0)</f>
        <v>0</v>
      </c>
    </row>
    <row r="13" spans="1:12" x14ac:dyDescent="0.35">
      <c r="A13" s="7">
        <v>46037</v>
      </c>
      <c r="B13" s="2"/>
      <c r="C13" s="2"/>
      <c r="E13" s="5">
        <f>IFERROR(MINUTE((Table1[[#This Row],[Stop]]-Table1[[#This Row],[Start]])),0)</f>
        <v>0</v>
      </c>
      <c r="F13" s="5">
        <f>IFERROR(HOUR(Table1[[#This Row],[Stop]]-Table1[[#This Row],[Start]]),0)</f>
        <v>0</v>
      </c>
    </row>
    <row r="14" spans="1:12" x14ac:dyDescent="0.35">
      <c r="A14" s="7">
        <v>46038</v>
      </c>
      <c r="B14" s="2"/>
      <c r="C14" s="2"/>
      <c r="E14" s="5">
        <f>IFERROR(MINUTE((Table1[[#This Row],[Stop]]-Table1[[#This Row],[Start]])),0)</f>
        <v>0</v>
      </c>
      <c r="F14" s="5">
        <f>IFERROR(HOUR(Table1[[#This Row],[Stop]]-Table1[[#This Row],[Start]]),0)</f>
        <v>0</v>
      </c>
    </row>
    <row r="15" spans="1:12" x14ac:dyDescent="0.35">
      <c r="A15" s="7">
        <v>46039</v>
      </c>
      <c r="B15" s="2"/>
      <c r="C15" s="2"/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2" x14ac:dyDescent="0.35">
      <c r="A16" s="7">
        <v>46040</v>
      </c>
      <c r="B16" s="2"/>
      <c r="C16" s="2"/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/>
      <c r="C17" s="2"/>
      <c r="E17" s="5">
        <f>IFERROR(MINUTE((Table1[[#This Row],[Stop]]-Table1[[#This Row],[Start]])),0)</f>
        <v>0</v>
      </c>
      <c r="F17" s="5">
        <f>IFERROR(HOUR(Table1[[#This Row],[Stop]]-Table1[[#This Row],[Start]]),0)</f>
        <v>0</v>
      </c>
    </row>
    <row r="18" spans="1:6" x14ac:dyDescent="0.35">
      <c r="A18" s="7">
        <v>46042</v>
      </c>
      <c r="B18" s="2"/>
      <c r="C18" s="2"/>
      <c r="E18" s="5">
        <f>IFERROR(MINUTE((Table1[[#This Row],[Stop]]-Table1[[#This Row],[Start]])),0)</f>
        <v>0</v>
      </c>
      <c r="F18" s="5">
        <f>IFERROR(HOUR(Table1[[#This Row],[Stop]]-Table1[[#This Row],[Start]]),0)</f>
        <v>0</v>
      </c>
    </row>
    <row r="19" spans="1:6" x14ac:dyDescent="0.35">
      <c r="A19" s="7">
        <v>46043</v>
      </c>
      <c r="B19" s="2"/>
      <c r="C19" s="2"/>
      <c r="E19" s="5">
        <f>IFERROR(MINUTE((Table1[[#This Row],[Stop]]-Table1[[#This Row],[Start]])),0)</f>
        <v>0</v>
      </c>
      <c r="F19" s="5">
        <f>IFERROR(HOUR(Table1[[#This Row],[Stop]]-Table1[[#This Row],[Start]]),0)</f>
        <v>0</v>
      </c>
    </row>
    <row r="20" spans="1:6" x14ac:dyDescent="0.35">
      <c r="A20" s="7">
        <v>46044</v>
      </c>
      <c r="B20" s="2"/>
      <c r="C20" s="2"/>
      <c r="E20" s="5">
        <f>IFERROR(MINUTE((Table1[[#This Row],[Stop]]-Table1[[#This Row],[Start]])),0)</f>
        <v>0</v>
      </c>
      <c r="F20" s="5">
        <f>IFERROR(HOUR(Table1[[#This Row],[Stop]]-Table1[[#This Row],[Start]]),0)</f>
        <v>0</v>
      </c>
    </row>
    <row r="21" spans="1:6" x14ac:dyDescent="0.35">
      <c r="A21" s="7">
        <v>46045</v>
      </c>
      <c r="B21" s="2"/>
      <c r="C21" s="2"/>
      <c r="E21" s="5">
        <f>IFERROR(MINUTE((Table1[[#This Row],[Stop]]-Table1[[#This Row],[Start]])),0)</f>
        <v>0</v>
      </c>
      <c r="F21" s="5">
        <f>IFERROR(HOUR(Table1[[#This Row],[Stop]]-Table1[[#This Row],[Start]]),0)</f>
        <v>0</v>
      </c>
    </row>
    <row r="22" spans="1:6" x14ac:dyDescent="0.35">
      <c r="A22" s="7">
        <v>46046</v>
      </c>
      <c r="B22" s="2"/>
      <c r="C22" s="2"/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/>
      <c r="C23" s="2"/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/>
      <c r="C24" s="2"/>
      <c r="E24" s="5">
        <f>IFERROR(MINUTE((Table1[[#This Row],[Stop]]-Table1[[#This Row],[Start]])),0)</f>
        <v>0</v>
      </c>
      <c r="F24" s="5">
        <f>IFERROR(HOUR(Table1[[#This Row],[Stop]]-Table1[[#This Row],[Start]]),0)</f>
        <v>0</v>
      </c>
    </row>
    <row r="25" spans="1:6" x14ac:dyDescent="0.35">
      <c r="A25" s="7">
        <v>46049</v>
      </c>
      <c r="B25" s="2"/>
      <c r="C25" s="2"/>
      <c r="E25" s="5">
        <f>IFERROR(MINUTE((Table1[[#This Row],[Stop]]-Table1[[#This Row],[Start]])),0)</f>
        <v>0</v>
      </c>
      <c r="F25" s="5">
        <f>IFERROR(HOUR(Table1[[#This Row],[Stop]]-Table1[[#This Row],[Start]]),0)</f>
        <v>0</v>
      </c>
    </row>
    <row r="26" spans="1:6" x14ac:dyDescent="0.35">
      <c r="A26" s="7">
        <v>46050</v>
      </c>
      <c r="B26" s="2"/>
      <c r="C26" s="2"/>
      <c r="E26" s="5">
        <f>IFERROR(MINUTE((Table1[[#This Row],[Stop]]-Table1[[#This Row],[Start]])),0)</f>
        <v>0</v>
      </c>
      <c r="F26" s="5">
        <f>IFERROR(HOUR(Table1[[#This Row],[Stop]]-Table1[[#This Row],[Start]]),0)</f>
        <v>0</v>
      </c>
    </row>
    <row r="27" spans="1:6" x14ac:dyDescent="0.35">
      <c r="A27" s="7">
        <v>46051</v>
      </c>
      <c r="B27" s="2"/>
      <c r="C27" s="2"/>
      <c r="E27" s="5">
        <f>IFERROR(MINUTE((Table1[[#This Row],[Stop]]-Table1[[#This Row],[Start]])),0)</f>
        <v>0</v>
      </c>
      <c r="F27" s="5">
        <f>IFERROR(HOUR(Table1[[#This Row],[Stop]]-Table1[[#This Row],[Start]]),0)</f>
        <v>0</v>
      </c>
    </row>
    <row r="28" spans="1:6" x14ac:dyDescent="0.35">
      <c r="A28" s="7">
        <v>46052</v>
      </c>
      <c r="B28" s="2"/>
      <c r="C28" s="2"/>
      <c r="E28" s="5">
        <f>IFERROR(MINUTE((Table1[[#This Row],[Stop]]-Table1[[#This Row],[Start]])),0)</f>
        <v>0</v>
      </c>
      <c r="F28" s="5">
        <f>IFERROR(HOUR(Table1[[#This Row],[Stop]]-Table1[[#This Row],[Start]]),0)</f>
        <v>0</v>
      </c>
    </row>
    <row r="29" spans="1:6" x14ac:dyDescent="0.35">
      <c r="A29" s="7">
        <v>46053</v>
      </c>
      <c r="B29" s="2"/>
      <c r="C29" s="2"/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/>
      <c r="C30" s="2"/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/>
      <c r="C31" s="2"/>
      <c r="E31" s="5">
        <f>IFERROR(MINUTE((Table1[[#This Row],[Stop]]-Table1[[#This Row],[Start]])),0)</f>
        <v>0</v>
      </c>
      <c r="F31" s="5">
        <f>IFERROR(HOUR(Table1[[#This Row],[Stop]]-Table1[[#This Row],[Start]]),0)</f>
        <v>0</v>
      </c>
    </row>
    <row r="32" spans="1:6" x14ac:dyDescent="0.35">
      <c r="A32" s="7">
        <v>46056</v>
      </c>
      <c r="B32" s="2"/>
      <c r="C32" s="2"/>
      <c r="E32" s="5">
        <f>IFERROR(MINUTE((Table1[[#This Row],[Stop]]-Table1[[#This Row],[Start]])),0)</f>
        <v>0</v>
      </c>
      <c r="F32" s="5">
        <f>IFERROR(HOUR(Table1[[#This Row],[Stop]]-Table1[[#This Row],[Start]]),0)</f>
        <v>0</v>
      </c>
    </row>
    <row r="33" spans="1:6" x14ac:dyDescent="0.35">
      <c r="A33" s="7">
        <v>46057</v>
      </c>
      <c r="B33" s="2"/>
      <c r="C33" s="2"/>
      <c r="E33" s="5">
        <f>IFERROR(MINUTE((Table1[[#This Row],[Stop]]-Table1[[#This Row],[Start]])),0)</f>
        <v>0</v>
      </c>
      <c r="F33" s="5">
        <f>IFERROR(HOUR(Table1[[#This Row],[Stop]]-Table1[[#This Row],[Start]]),0)</f>
        <v>0</v>
      </c>
    </row>
    <row r="34" spans="1:6" x14ac:dyDescent="0.35">
      <c r="A34" s="7">
        <v>46058</v>
      </c>
      <c r="B34" s="2"/>
      <c r="C34" s="2"/>
      <c r="E34" s="5">
        <f>IFERROR(MINUTE((Table1[[#This Row],[Stop]]-Table1[[#This Row],[Start]])),0)</f>
        <v>0</v>
      </c>
      <c r="F34" s="5">
        <f>IFERROR(HOUR(Table1[[#This Row],[Stop]]-Table1[[#This Row],[Start]]),0)</f>
        <v>0</v>
      </c>
    </row>
    <row r="35" spans="1:6" x14ac:dyDescent="0.35">
      <c r="A35" s="7">
        <v>46059</v>
      </c>
      <c r="B35" s="2"/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2026-01-09T21:58:52Z</dcterms:modified>
</cp:coreProperties>
</file>